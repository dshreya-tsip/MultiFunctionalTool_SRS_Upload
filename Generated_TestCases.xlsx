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884" firstSheet="1" activeTab="1" autoFilterDateGrouping="1"/>
  </bookViews>
  <sheets>
    <sheet xmlns:r="http://schemas.openxmlformats.org/officeDocument/2006/relationships" name="Test Report-IT1" sheetId="1" state="hidden" r:id="rId1"/>
    <sheet xmlns:r="http://schemas.openxmlformats.org/officeDocument/2006/relationships" name="Testcases" sheetId="2" state="visible" r:id="rId2"/>
  </sheets>
  <definedNames>
    <definedName name="_xlnm.Print_Area" localSheetId="0">'Test Report-IT1'!$A$1:$H$38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family val="2"/>
      <sz val="10"/>
    </font>
    <font>
      <name val="Times New Roman"/>
      <family val="1"/>
      <sz val="10"/>
    </font>
    <font>
      <name val="Times New Roman"/>
      <family val="1"/>
      <b val="1"/>
      <sz val="14"/>
    </font>
    <font>
      <name val="Times New Roman"/>
      <family val="1"/>
      <sz val="12"/>
    </font>
    <font>
      <name val="Times New Roman"/>
      <family val="1"/>
      <color indexed="9"/>
      <sz val="12"/>
    </font>
    <font>
      <name val="Times New Roman"/>
      <family val="1"/>
      <color indexed="9"/>
      <sz val="10"/>
    </font>
    <font>
      <name val="Times New Roman"/>
      <family val="1"/>
      <b val="1"/>
      <sz val="11"/>
    </font>
    <font>
      <name val="Times New Roman"/>
      <family val="1"/>
      <b val="1"/>
      <sz val="10"/>
    </font>
    <font>
      <name val="Times New Roman"/>
      <family val="1"/>
      <b val="1"/>
      <sz val="12"/>
    </font>
    <font>
      <name val="Times New Roman"/>
      <family val="1"/>
      <b val="1"/>
      <color indexed="8"/>
      <sz val="12"/>
    </font>
    <font>
      <name val="Times New Roman"/>
      <family val="1"/>
      <b val="1"/>
      <i val="1"/>
      <sz val="14"/>
    </font>
    <font>
      <name val="Times New Roman"/>
      <family val="1"/>
      <color indexed="8"/>
      <sz val="12"/>
    </font>
    <font>
      <name val="Times New Roman"/>
      <family val="1"/>
      <i val="1"/>
      <color indexed="8"/>
      <sz val="10"/>
    </font>
    <font>
      <name val="Times New Roman"/>
      <family val="1"/>
      <i val="1"/>
      <sz val="10"/>
    </font>
    <font>
      <name val="Times New Roman"/>
      <family val="1"/>
      <color indexed="8"/>
      <sz val="10"/>
    </font>
    <font>
      <name val="Times New Roman"/>
      <family val="1"/>
      <b val="1"/>
      <color indexed="8"/>
      <sz val="10"/>
    </font>
    <font>
      <name val="Arial"/>
      <family val="2"/>
      <sz val="10"/>
    </font>
    <font>
      <name val="ＭＳ Ｐゴシック"/>
      <charset val="128"/>
      <family val="3"/>
      <color indexed="8"/>
      <sz val="11"/>
    </font>
    <font>
      <name val="Calibri"/>
      <family val="2"/>
      <color indexed="8"/>
      <sz val="11"/>
    </font>
  </fonts>
  <fills count="6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16" fillId="0" borderId="0"/>
    <xf numFmtId="0" fontId="17" fillId="0" borderId="0" applyAlignment="1">
      <alignment vertical="center"/>
    </xf>
    <xf numFmtId="0" fontId="18" fillId="0" borderId="0"/>
    <xf numFmtId="0" fontId="16" fillId="0" borderId="0"/>
  </cellStyleXfs>
  <cellXfs count="131">
    <xf numFmtId="0" fontId="0" fillId="0" borderId="0" pivotButton="0" quotePrefix="0" xfId="0"/>
    <xf numFmtId="49" fontId="1" fillId="0" borderId="0" applyProtection="1" pivotButton="0" quotePrefix="0" xfId="0">
      <protection locked="0" hidden="0"/>
    </xf>
    <xf numFmtId="49" fontId="1" fillId="2" borderId="0" applyProtection="1" pivotButton="0" quotePrefix="0" xfId="0">
      <protection locked="0" hidden="0"/>
    </xf>
    <xf numFmtId="49" fontId="1" fillId="2" borderId="0" applyProtection="1" pivotButton="0" quotePrefix="0" xfId="0">
      <protection locked="0" hidden="0"/>
    </xf>
    <xf numFmtId="49" fontId="4" fillId="2" borderId="0" applyProtection="1" pivotButton="0" quotePrefix="0" xfId="0">
      <protection locked="0" hidden="0"/>
    </xf>
    <xf numFmtId="49" fontId="4" fillId="2" borderId="0" applyAlignment="1" applyProtection="1" pivotButton="0" quotePrefix="0" xfId="0">
      <alignment horizontal="left"/>
      <protection locked="0" hidden="0"/>
    </xf>
    <xf numFmtId="49" fontId="4" fillId="2" borderId="0" applyAlignment="1" applyProtection="1" pivotButton="0" quotePrefix="0" xfId="0">
      <alignment horizontal="justify"/>
      <protection locked="0" hidden="0"/>
    </xf>
    <xf numFmtId="49" fontId="5" fillId="0" borderId="0" applyProtection="1" pivotButton="0" quotePrefix="0" xfId="0">
      <protection locked="0" hidden="0"/>
    </xf>
    <xf numFmtId="49" fontId="9" fillId="2" borderId="1" applyAlignment="1" applyProtection="1" pivotButton="0" quotePrefix="0" xfId="0">
      <alignment vertical="center" wrapText="1"/>
      <protection locked="0" hidden="0"/>
    </xf>
    <xf numFmtId="49" fontId="9" fillId="2" borderId="2" applyAlignment="1" applyProtection="1" pivotButton="0" quotePrefix="0" xfId="0">
      <alignment vertical="center" wrapText="1"/>
      <protection locked="0" hidden="0"/>
    </xf>
    <xf numFmtId="49" fontId="8" fillId="2" borderId="1" applyAlignment="1" applyProtection="1" pivotButton="0" quotePrefix="0" xfId="0">
      <alignment horizontal="center" vertical="top" wrapText="1"/>
      <protection locked="0" hidden="0"/>
    </xf>
    <xf numFmtId="49" fontId="8" fillId="2" borderId="3" applyAlignment="1" applyProtection="1" pivotButton="0" quotePrefix="0" xfId="0">
      <alignment horizontal="center" vertical="top" wrapText="1"/>
      <protection locked="0" hidden="0"/>
    </xf>
    <xf numFmtId="49" fontId="9" fillId="2" borderId="3" applyAlignment="1" applyProtection="1" pivotButton="0" quotePrefix="0" xfId="0">
      <alignment horizontal="center" vertical="center" wrapText="1"/>
      <protection locked="0" hidden="0"/>
    </xf>
    <xf numFmtId="49" fontId="1" fillId="2" borderId="3" applyAlignment="1" applyProtection="1" pivotButton="0" quotePrefix="0" xfId="0">
      <alignment vertical="top"/>
      <protection locked="0" hidden="0"/>
    </xf>
    <xf numFmtId="49" fontId="1" fillId="2" borderId="3" applyProtection="1" pivotButton="0" quotePrefix="0" xfId="0">
      <protection locked="0" hidden="0"/>
    </xf>
    <xf numFmtId="49" fontId="1" fillId="2" borderId="3" applyAlignment="1" applyProtection="1" pivotButton="0" quotePrefix="0" xfId="0">
      <alignment vertical="top" wrapText="1"/>
      <protection locked="0" hidden="0"/>
    </xf>
    <xf numFmtId="49" fontId="1" fillId="2" borderId="3" applyAlignment="1" applyProtection="1" pivotButton="0" quotePrefix="0" xfId="0">
      <alignment wrapText="1"/>
      <protection locked="0" hidden="0"/>
    </xf>
    <xf numFmtId="49" fontId="1" fillId="2" borderId="0" applyAlignment="1" applyProtection="1" pivotButton="0" quotePrefix="0" xfId="0">
      <alignment wrapText="1"/>
      <protection locked="0" hidden="0"/>
    </xf>
    <xf numFmtId="49" fontId="1" fillId="0" borderId="0" applyProtection="1" pivotButton="0" quotePrefix="0" xfId="0">
      <protection locked="0" hidden="0"/>
    </xf>
    <xf numFmtId="49" fontId="7" fillId="2" borderId="3" applyProtection="1" pivotButton="0" quotePrefix="0" xfId="0">
      <protection locked="0" hidden="0"/>
    </xf>
    <xf numFmtId="49" fontId="1" fillId="3" borderId="3" pivotButton="0" quotePrefix="0" xfId="0"/>
    <xf numFmtId="49" fontId="7" fillId="2" borderId="4" applyProtection="1" pivotButton="0" quotePrefix="0" xfId="0">
      <protection locked="0" hidden="0"/>
    </xf>
    <xf numFmtId="49" fontId="1" fillId="3" borderId="4" pivotButton="0" quotePrefix="0" xfId="0"/>
    <xf numFmtId="49" fontId="1" fillId="2" borderId="1" applyProtection="1" pivotButton="0" quotePrefix="0" xfId="0">
      <protection locked="0" hidden="0"/>
    </xf>
    <xf numFmtId="49" fontId="7" fillId="2" borderId="0" applyAlignment="1" applyProtection="1" pivotButton="0" quotePrefix="0" xfId="0">
      <alignment horizontal="center"/>
      <protection locked="0" hidden="0"/>
    </xf>
    <xf numFmtId="49" fontId="1" fillId="3" borderId="3" applyAlignment="1" pivotButton="0" quotePrefix="0" xfId="0">
      <alignment vertical="center"/>
    </xf>
    <xf numFmtId="49" fontId="6" fillId="2" borderId="0" applyAlignment="1" applyProtection="1" pivotButton="0" quotePrefix="0" xfId="0">
      <alignment horizontal="left" vertical="top" wrapText="1"/>
      <protection locked="0" hidden="0"/>
    </xf>
    <xf numFmtId="49" fontId="5" fillId="2" borderId="0" applyAlignment="1" applyProtection="1" pivotButton="0" quotePrefix="0" xfId="0">
      <alignment horizontal="left" vertical="top" wrapText="1"/>
      <protection locked="0" hidden="0"/>
    </xf>
    <xf numFmtId="49" fontId="5" fillId="2" borderId="0" applyAlignment="1" applyProtection="1" pivotButton="0" quotePrefix="0" xfId="0">
      <alignment horizontal="left" vertical="top"/>
      <protection locked="0" hidden="0"/>
    </xf>
    <xf numFmtId="49" fontId="1" fillId="2" borderId="0" applyAlignment="1" applyProtection="1" pivotButton="0" quotePrefix="0" xfId="0">
      <alignment horizontal="left" vertical="top" wrapText="1"/>
      <protection locked="0" hidden="0"/>
    </xf>
    <xf numFmtId="49" fontId="8" fillId="2" borderId="3" applyAlignment="1" applyProtection="1" pivotButton="0" quotePrefix="0" xfId="0">
      <alignment horizontal="left" vertical="center" wrapText="1"/>
      <protection locked="0" hidden="0"/>
    </xf>
    <xf numFmtId="49" fontId="1" fillId="2" borderId="0" applyAlignment="1" applyProtection="1" pivotButton="0" quotePrefix="0" xfId="0">
      <alignment vertical="top" wrapText="1"/>
      <protection locked="0" hidden="0"/>
    </xf>
    <xf numFmtId="49" fontId="8" fillId="0" borderId="3" applyAlignment="1" applyProtection="1" pivotButton="0" quotePrefix="0" xfId="0">
      <alignment vertical="top" wrapText="1"/>
      <protection locked="0" hidden="0"/>
    </xf>
    <xf numFmtId="49" fontId="1" fillId="0" borderId="0" applyAlignment="1" applyProtection="1" pivotButton="0" quotePrefix="0" xfId="0">
      <alignment horizontal="left"/>
      <protection locked="0" hidden="0"/>
    </xf>
    <xf numFmtId="49" fontId="3" fillId="2" borderId="0" applyProtection="1" pivotButton="0" quotePrefix="0" xfId="0">
      <protection locked="0" hidden="0"/>
    </xf>
    <xf numFmtId="49" fontId="2" fillId="2" borderId="0" applyProtection="1" pivotButton="0" quotePrefix="0" xfId="0">
      <protection locked="0" hidden="0"/>
    </xf>
    <xf numFmtId="49" fontId="9" fillId="2" borderId="4" applyAlignment="1" applyProtection="1" pivotButton="0" quotePrefix="0" xfId="0">
      <alignment vertical="center" wrapText="1"/>
      <protection locked="0" hidden="0"/>
    </xf>
    <xf numFmtId="49" fontId="9" fillId="2" borderId="5" applyAlignment="1" applyProtection="1" pivotButton="0" quotePrefix="0" xfId="0">
      <alignment vertical="center" wrapText="1"/>
      <protection locked="0" hidden="0"/>
    </xf>
    <xf numFmtId="49" fontId="1" fillId="2" borderId="6" applyProtection="1" pivotButton="0" quotePrefix="0" xfId="0">
      <protection locked="0" hidden="0"/>
    </xf>
    <xf numFmtId="49" fontId="1" fillId="2" borderId="6" applyAlignment="1" applyProtection="1" pivotButton="0" quotePrefix="0" xfId="0">
      <alignment wrapText="1"/>
      <protection locked="0" hidden="0"/>
    </xf>
    <xf numFmtId="49" fontId="1" fillId="2" borderId="0" applyProtection="1" pivotButton="0" quotePrefix="0" xfId="0">
      <protection locked="0" hidden="0"/>
    </xf>
    <xf numFmtId="49" fontId="1" fillId="0" borderId="0" applyAlignment="1" applyProtection="1" pivotButton="0" quotePrefix="0" xfId="0">
      <alignment wrapText="1"/>
      <protection locked="0" hidden="0"/>
    </xf>
    <xf numFmtId="49" fontId="9" fillId="2" borderId="0" applyAlignment="1" applyProtection="1" pivotButton="0" quotePrefix="0" xfId="0">
      <alignment horizontal="center" vertical="center" wrapText="1"/>
      <protection locked="0" hidden="0"/>
    </xf>
    <xf numFmtId="49" fontId="1" fillId="3" borderId="3" applyAlignment="1" pivotButton="0" quotePrefix="0" xfId="0">
      <alignment horizontal="left" vertical="top" wrapText="1"/>
    </xf>
    <xf numFmtId="49" fontId="1" fillId="3" borderId="2" applyAlignment="1" pivotButton="0" quotePrefix="0" xfId="0">
      <alignment horizontal="left" vertical="top" wrapText="1"/>
    </xf>
    <xf numFmtId="0" fontId="15" fillId="0" borderId="0" applyProtection="1" pivotButton="0" quotePrefix="0" xfId="0">
      <protection locked="0" hidden="0"/>
    </xf>
    <xf numFmtId="0" fontId="14" fillId="0" borderId="0" applyProtection="1" pivotButton="0" quotePrefix="0" xfId="0">
      <protection locked="0" hidden="0"/>
    </xf>
    <xf numFmtId="0" fontId="14" fillId="2" borderId="0" applyProtection="1" pivotButton="0" quotePrefix="0" xfId="0">
      <protection locked="0" hidden="0"/>
    </xf>
    <xf numFmtId="0" fontId="12" fillId="2" borderId="0" applyProtection="1" pivotButton="0" quotePrefix="0" xfId="0">
      <protection locked="0" hidden="0"/>
    </xf>
    <xf numFmtId="0" fontId="7" fillId="0" borderId="3" applyAlignment="1" pivotButton="0" quotePrefix="0" xfId="0">
      <alignment horizontal="left"/>
    </xf>
    <xf numFmtId="0" fontId="7" fillId="0" borderId="3" applyAlignment="1" pivotButton="0" quotePrefix="0" xfId="0">
      <alignment horizontal="left" vertical="center"/>
    </xf>
    <xf numFmtId="0" fontId="13" fillId="2" borderId="3" applyAlignment="1" applyProtection="1" pivotButton="0" quotePrefix="0" xfId="0">
      <alignment horizontal="left"/>
      <protection locked="0" hidden="0"/>
    </xf>
    <xf numFmtId="0" fontId="15" fillId="0" borderId="0" applyAlignment="1" applyProtection="1" pivotButton="0" quotePrefix="0" xfId="0">
      <alignment horizontal="center" vertical="center"/>
      <protection locked="0" hidden="0"/>
    </xf>
    <xf numFmtId="0" fontId="14" fillId="2" borderId="0" applyProtection="1" pivotButton="0" quotePrefix="0" xfId="0">
      <protection locked="0" hidden="0"/>
    </xf>
    <xf numFmtId="0" fontId="7" fillId="5" borderId="4" applyAlignment="1" applyProtection="1" pivotButton="0" quotePrefix="0" xfId="0">
      <alignment horizontal="center" vertical="center" wrapText="1"/>
      <protection locked="0" hidden="0"/>
    </xf>
    <xf numFmtId="0" fontId="7" fillId="5" borderId="3" applyAlignment="1" applyProtection="1" pivotButton="0" quotePrefix="0" xfId="0">
      <alignment horizontal="center" vertical="center" wrapText="1"/>
      <protection locked="0" hidden="0"/>
    </xf>
    <xf numFmtId="0" fontId="7" fillId="2" borderId="6" applyAlignment="1" applyProtection="1" pivotButton="0" quotePrefix="0" xfId="0">
      <alignment horizontal="left" vertical="center" wrapText="1"/>
      <protection locked="0" hidden="0"/>
    </xf>
    <xf numFmtId="0" fontId="7" fillId="0" borderId="3" applyAlignment="1" pivotButton="0" quotePrefix="0" xfId="0">
      <alignment horizontal="center" vertical="center"/>
    </xf>
    <xf numFmtId="0" fontId="7" fillId="0" borderId="7" applyAlignment="1" applyProtection="1" pivotButton="0" quotePrefix="0" xfId="0">
      <alignment horizontal="center" vertical="center" wrapText="1" readingOrder="1"/>
      <protection locked="0" hidden="0"/>
    </xf>
    <xf numFmtId="0" fontId="1" fillId="0" borderId="3" applyAlignment="1" applyProtection="1" pivotButton="0" quotePrefix="0" xfId="0">
      <alignment horizontal="left" vertical="center" wrapText="1"/>
      <protection locked="0" hidden="0"/>
    </xf>
    <xf numFmtId="0" fontId="1" fillId="0" borderId="7" applyAlignment="1" applyProtection="1" pivotButton="0" quotePrefix="0" xfId="0">
      <alignment horizontal="left" vertical="center" wrapText="1"/>
      <protection locked="0" hidden="0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applyProtection="1" pivotButton="0" quotePrefix="0" xfId="0">
      <alignment horizontal="left" vertical="center" wrapText="1" readingOrder="1"/>
      <protection locked="0" hidden="0"/>
    </xf>
    <xf numFmtId="0" fontId="1" fillId="4" borderId="3" applyAlignment="1" applyProtection="1" pivotButton="0" quotePrefix="0" xfId="0">
      <alignment horizontal="left" vertical="top" wrapText="1"/>
      <protection locked="0" hidden="0"/>
    </xf>
    <xf numFmtId="0" fontId="1" fillId="4" borderId="3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15" fillId="0" borderId="0" applyAlignment="1" applyProtection="1" pivotButton="0" quotePrefix="0" xfId="0">
      <alignment horizontal="left"/>
      <protection locked="0" hidden="0"/>
    </xf>
    <xf numFmtId="0" fontId="14" fillId="0" borderId="0" applyAlignment="1" applyProtection="1" pivotButton="0" quotePrefix="0" xfId="0">
      <alignment wrapText="1"/>
      <protection locked="0" hidden="0"/>
    </xf>
    <xf numFmtId="0" fontId="15" fillId="0" borderId="0" applyAlignment="1" applyProtection="1" pivotButton="0" quotePrefix="0" xfId="0">
      <alignment vertical="center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7" fillId="5" borderId="3" applyAlignment="1" applyProtection="1" pivotButton="0" quotePrefix="0" xfId="0">
      <alignment horizontal="center" vertical="center" wrapText="1"/>
      <protection locked="0" hidden="0"/>
    </xf>
    <xf numFmtId="0" fontId="7" fillId="2" borderId="3" applyAlignment="1" applyProtection="1" pivotButton="0" quotePrefix="0" xfId="0">
      <alignment horizontal="left" vertical="center" wrapText="1"/>
      <protection locked="0" hidden="0"/>
    </xf>
    <xf numFmtId="49" fontId="8" fillId="0" borderId="3" applyAlignment="1" applyProtection="1" pivotButton="0" quotePrefix="0" xfId="0">
      <alignment horizontal="center" vertical="top" wrapText="1"/>
      <protection locked="0" hidden="0"/>
    </xf>
    <xf numFmtId="49" fontId="8" fillId="2" borderId="3" applyAlignment="1" applyProtection="1" pivotButton="0" quotePrefix="0" xfId="0">
      <alignment horizontal="center" vertical="top" wrapText="1"/>
      <protection locked="0" hidden="0"/>
    </xf>
    <xf numFmtId="49" fontId="2" fillId="2" borderId="0" applyAlignment="1" applyProtection="1" pivotButton="0" quotePrefix="0" xfId="0">
      <alignment horizontal="justify"/>
      <protection locked="0" hidden="0"/>
    </xf>
    <xf numFmtId="49" fontId="2" fillId="2" borderId="0" applyProtection="1" pivotButton="0" quotePrefix="0" xfId="0">
      <protection locked="0" hidden="0"/>
    </xf>
    <xf numFmtId="49" fontId="8" fillId="2" borderId="6" applyAlignment="1" applyProtection="1" pivotButton="0" quotePrefix="0" xfId="0">
      <alignment horizontal="center" vertical="top" wrapText="1"/>
      <protection locked="0" hidden="0"/>
    </xf>
    <xf numFmtId="49" fontId="8" fillId="2" borderId="1" applyAlignment="1" applyProtection="1" pivotButton="0" quotePrefix="0" xfId="0">
      <alignment horizontal="center" vertical="top" wrapText="1"/>
      <protection locked="0" hidden="0"/>
    </xf>
    <xf numFmtId="0" fontId="0" fillId="0" borderId="1" pivotButton="0" quotePrefix="0" xfId="0"/>
    <xf numFmtId="0" fontId="0" fillId="0" borderId="2" pivotButton="0" quotePrefix="0" xfId="0"/>
    <xf numFmtId="49" fontId="8" fillId="2" borderId="9" applyAlignment="1" applyProtection="1" pivotButton="0" quotePrefix="0" xfId="0">
      <alignment horizontal="center" vertical="center" wrapText="1"/>
      <protection locked="0" hidden="0"/>
    </xf>
    <xf numFmtId="49" fontId="8" fillId="2" borderId="10" applyAlignment="1" applyProtection="1" pivotButton="0" quotePrefix="0" xfId="0">
      <alignment horizontal="center" vertical="center" wrapText="1"/>
      <protection locked="0" hidden="0"/>
    </xf>
    <xf numFmtId="49" fontId="8" fillId="2" borderId="4" applyAlignment="1" applyProtection="1" pivotButton="0" quotePrefix="0" xfId="0">
      <alignment horizontal="center" vertical="center" wrapText="1"/>
      <protection locked="0" hidden="0"/>
    </xf>
    <xf numFmtId="49" fontId="8" fillId="2" borderId="11" applyAlignment="1" applyProtection="1" pivotButton="0" quotePrefix="0" xfId="0">
      <alignment horizontal="center" vertical="center" wrapText="1"/>
      <protection locked="0" hidden="0"/>
    </xf>
    <xf numFmtId="49" fontId="8" fillId="2" borderId="7" applyAlignment="1" applyProtection="1" pivotButton="0" quotePrefix="0" xfId="0">
      <alignment horizontal="center" vertical="center" wrapText="1"/>
      <protection locked="0" hidden="0"/>
    </xf>
    <xf numFmtId="49" fontId="8" fillId="2" borderId="2" applyAlignment="1" applyProtection="1" pivotButton="0" quotePrefix="0" xfId="0">
      <alignment horizontal="center" vertical="top" wrapText="1"/>
      <protection locked="0" hidden="0"/>
    </xf>
    <xf numFmtId="49" fontId="3" fillId="2" borderId="8" applyAlignment="1" applyProtection="1" pivotButton="0" quotePrefix="0" xfId="0">
      <alignment horizontal="center" vertical="top" wrapText="1"/>
      <protection locked="0" hidden="0"/>
    </xf>
    <xf numFmtId="49" fontId="8" fillId="2" borderId="6" applyAlignment="1" applyProtection="1" pivotButton="0" quotePrefix="0" xfId="0">
      <alignment horizontal="center" vertical="top"/>
      <protection locked="0" hidden="0"/>
    </xf>
    <xf numFmtId="49" fontId="8" fillId="2" borderId="1" applyAlignment="1" applyProtection="1" pivotButton="0" quotePrefix="0" xfId="0">
      <alignment horizontal="center" vertical="top"/>
      <protection locked="0" hidden="0"/>
    </xf>
    <xf numFmtId="49" fontId="8" fillId="2" borderId="2" applyAlignment="1" applyProtection="1" pivotButton="0" quotePrefix="0" xfId="0">
      <alignment horizontal="center" vertical="top"/>
      <protection locked="0" hidden="0"/>
    </xf>
    <xf numFmtId="49" fontId="4" fillId="2" borderId="0" applyProtection="1" pivotButton="0" quotePrefix="0" xfId="0">
      <protection locked="0" hidden="0"/>
    </xf>
    <xf numFmtId="49" fontId="3" fillId="2" borderId="0" applyProtection="1" pivotButton="0" quotePrefix="0" xfId="0">
      <protection locked="0" hidden="0"/>
    </xf>
    <xf numFmtId="49" fontId="8" fillId="2" borderId="0" applyAlignment="1" applyProtection="1" pivotButton="0" quotePrefix="0" xfId="0">
      <alignment horizontal="left" vertical="top" wrapText="1"/>
      <protection locked="0" hidden="0"/>
    </xf>
    <xf numFmtId="49" fontId="10" fillId="2" borderId="6" applyAlignment="1" applyProtection="1" pivotButton="0" quotePrefix="0" xfId="0">
      <alignment horizontal="left"/>
      <protection locked="0" hidden="0"/>
    </xf>
    <xf numFmtId="49" fontId="10" fillId="2" borderId="1" applyAlignment="1" applyProtection="1" pivotButton="0" quotePrefix="0" xfId="0">
      <alignment horizontal="left"/>
      <protection locked="0" hidden="0"/>
    </xf>
    <xf numFmtId="49" fontId="10" fillId="2" borderId="2" applyAlignment="1" applyProtection="1" pivotButton="0" quotePrefix="0" xfId="0">
      <alignment horizontal="left"/>
      <protection locked="0" hidden="0"/>
    </xf>
    <xf numFmtId="49" fontId="9" fillId="2" borderId="6" applyAlignment="1" applyProtection="1" pivotButton="0" quotePrefix="0" xfId="0">
      <alignment horizontal="center" vertical="center" wrapText="1"/>
      <protection locked="0" hidden="0"/>
    </xf>
    <xf numFmtId="49" fontId="9" fillId="2" borderId="1" applyAlignment="1" applyProtection="1" pivotButton="0" quotePrefix="0" xfId="0">
      <alignment horizontal="center" vertical="center" wrapText="1"/>
      <protection locked="0" hidden="0"/>
    </xf>
    <xf numFmtId="49" fontId="9" fillId="2" borderId="2" applyAlignment="1" applyProtection="1" pivotButton="0" quotePrefix="0" xfId="0">
      <alignment horizontal="center" vertical="center" wrapText="1"/>
      <protection locked="0" hidden="0"/>
    </xf>
    <xf numFmtId="49" fontId="8" fillId="2" borderId="0" applyAlignment="1" applyProtection="1" pivotButton="0" quotePrefix="0" xfId="0">
      <alignment horizontal="left"/>
      <protection locked="0" hidden="0"/>
    </xf>
    <xf numFmtId="49" fontId="2" fillId="2" borderId="0" applyAlignment="1" applyProtection="1" pivotButton="0" quotePrefix="0" xfId="0">
      <alignment horizontal="center"/>
      <protection locked="0" hidden="0"/>
    </xf>
    <xf numFmtId="49" fontId="1" fillId="2" borderId="0" applyProtection="1" pivotButton="0" quotePrefix="0" xfId="0">
      <protection locked="0" hidden="0"/>
    </xf>
    <xf numFmtId="0" fontId="7" fillId="2" borderId="3" applyProtection="1" pivotButton="0" quotePrefix="0" xfId="0">
      <protection locked="0" hidden="0"/>
    </xf>
    <xf numFmtId="0" fontId="1" fillId="2" borderId="3" applyProtection="1" pivotButton="0" quotePrefix="0" xfId="0">
      <protection locked="0" hidden="0"/>
    </xf>
    <xf numFmtId="0" fontId="8" fillId="0" borderId="6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 vertical="top" wrapText="1"/>
    </xf>
    <xf numFmtId="0" fontId="14" fillId="0" borderId="12" applyAlignment="1" applyProtection="1" pivotButton="0" quotePrefix="0" xfId="0">
      <alignment horizontal="center"/>
      <protection locked="0" hidden="0"/>
    </xf>
    <xf numFmtId="0" fontId="7" fillId="5" borderId="3" applyAlignment="1" applyProtection="1" pivotButton="0" quotePrefix="0" xfId="0">
      <alignment horizontal="center" vertical="center" wrapText="1"/>
      <protection locked="0" hidden="0"/>
    </xf>
    <xf numFmtId="0" fontId="7" fillId="5" borderId="4" applyAlignment="1" applyProtection="1" pivotButton="0" quotePrefix="0" xfId="0">
      <alignment horizontal="center" vertical="center" wrapText="1"/>
      <protection locked="0" hidden="0"/>
    </xf>
    <xf numFmtId="0" fontId="7" fillId="2" borderId="6" applyAlignment="1" applyProtection="1" pivotButton="0" quotePrefix="0" xfId="0">
      <alignment horizontal="center" vertical="top"/>
      <protection locked="0" hidden="0"/>
    </xf>
    <xf numFmtId="0" fontId="7" fillId="2" borderId="2" applyAlignment="1" applyProtection="1" pivotButton="0" quotePrefix="0" xfId="0">
      <alignment horizontal="center" vertical="top"/>
      <protection locked="0" hidden="0"/>
    </xf>
    <xf numFmtId="0" fontId="7" fillId="2" borderId="6" applyAlignment="1" applyProtection="1" pivotButton="0" quotePrefix="0" xfId="0">
      <alignment horizontal="center" vertical="top" shrinkToFit="1"/>
      <protection locked="0" hidden="0"/>
    </xf>
    <xf numFmtId="0" fontId="1" fillId="0" borderId="1" applyAlignment="1" pivotButton="0" quotePrefix="0" xfId="0">
      <alignment horizontal="center" vertical="top"/>
    </xf>
    <xf numFmtId="49" fontId="10" fillId="2" borderId="3" applyAlignment="1" applyProtection="1" pivotButton="0" quotePrefix="0" xfId="0">
      <alignment horizontal="left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49" fontId="8" fillId="2" borderId="3" applyAlignment="1" applyProtection="1" pivotButton="0" quotePrefix="0" xfId="0">
      <alignment horizontal="center" vertical="center" wrapText="1"/>
      <protection locked="0" hidden="0"/>
    </xf>
    <xf numFmtId="49" fontId="8" fillId="2" borderId="3" applyAlignment="1" applyProtection="1" pivotButton="0" quotePrefix="0" xfId="0">
      <alignment horizontal="center" vertical="top"/>
      <protection locked="0" hidden="0"/>
    </xf>
    <xf numFmtId="0" fontId="0" fillId="0" borderId="11" applyProtection="1" pivotButton="0" quotePrefix="0" xfId="0">
      <protection locked="0" hidden="0"/>
    </xf>
    <xf numFmtId="49" fontId="8" fillId="2" borderId="1" applyAlignment="1" applyProtection="1" pivotButton="0" quotePrefix="0" xfId="0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0" borderId="3" applyAlignment="1" pivotButton="0" quotePrefix="0" xfId="0">
      <alignment horizontal="center" vertical="top" wrapText="1"/>
    </xf>
    <xf numFmtId="0" fontId="7" fillId="2" borderId="3" applyAlignment="1" applyProtection="1" pivotButton="0" quotePrefix="0" xfId="0">
      <alignment horizontal="center" vertical="top"/>
      <protection locked="0" hidden="0"/>
    </xf>
    <xf numFmtId="0" fontId="0" fillId="0" borderId="12" applyProtection="1" pivotButton="0" quotePrefix="0" xfId="0">
      <protection locked="0" hidden="0"/>
    </xf>
  </cellXfs>
  <cellStyles count="4">
    <cellStyle name="Normal" xfId="0" builtinId="0"/>
    <cellStyle name="Normal 2" xfId="1"/>
    <cellStyle name="Normal 7" xfId="2"/>
    <cellStyle name="標準_eBX_EFI_Scan_TestCases" xfId="3"/>
  </cellStyles>
  <dxfs count="3">
    <dxf>
      <fill>
        <patternFill>
          <bgColor indexed="22"/>
        </patternFill>
      </fill>
    </dxf>
    <dxf>
      <fill>
        <patternFill>
          <bgColor indexed="10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4">
    <outlinePr summaryBelow="1" summaryRight="1"/>
    <pageSetUpPr/>
  </sheetPr>
  <dimension ref="A1:U232"/>
  <sheetViews>
    <sheetView showGridLines="0" showOutlineSymbols="0" zoomScaleNormal="100" zoomScaleSheetLayoutView="100" workbookViewId="0">
      <selection activeCell="A13" sqref="A13:A15"/>
    </sheetView>
  </sheetViews>
  <sheetFormatPr baseColWidth="8" defaultColWidth="9.1796875" defaultRowHeight="0" customHeight="1" zeroHeight="1" outlineLevelRow="1"/>
  <cols>
    <col width="23.54296875" customWidth="1" style="33" min="1" max="1"/>
    <col width="20" customWidth="1" style="18" min="2" max="2"/>
    <col width="17.1796875" customWidth="1" style="18" min="3" max="3"/>
    <col width="16" customWidth="1" style="18" min="4" max="4"/>
    <col width="20.7265625" customWidth="1" style="18" min="5" max="5"/>
    <col width="14.7265625" customWidth="1" style="18" min="6" max="6"/>
    <col width="12.54296875" customWidth="1" style="18" min="7" max="7"/>
    <col width="17.26953125" customWidth="1" style="18" min="8" max="8"/>
    <col hidden="1" width="14.7265625" customWidth="1" style="18" min="9" max="9"/>
    <col hidden="1" width="12.54296875" customWidth="1" style="18" min="10" max="10"/>
    <col hidden="1" width="17.26953125" customWidth="1" style="18" min="11" max="11"/>
    <col hidden="1" width="14.7265625" customWidth="1" style="18" min="12" max="12"/>
    <col hidden="1" width="12.54296875" customWidth="1" style="18" min="13" max="13"/>
    <col hidden="1" width="9.81640625" customWidth="1" style="18" min="14" max="14"/>
    <col hidden="1" width="19.1796875" customWidth="1" style="18" min="15" max="15"/>
    <col hidden="1" width="12.54296875" customWidth="1" style="18" min="16" max="16"/>
    <col hidden="1" width="13.81640625" customWidth="1" style="18" min="17" max="17"/>
    <col hidden="1" width="16.7265625" customWidth="1" style="18" min="18" max="18"/>
    <col hidden="1" width="12.54296875" customWidth="1" style="18" min="19" max="19"/>
    <col hidden="1" width="17.54296875" customWidth="1" style="18" min="20" max="20"/>
    <col width="8.453125" customWidth="1" style="18" min="21" max="21"/>
    <col width="9.1796875" customWidth="1" style="18" min="22" max="16384"/>
  </cols>
  <sheetData>
    <row r="1" ht="17.5" customFormat="1" customHeight="1" s="18">
      <c r="A1" s="117" t="inlineStr">
        <is>
          <t>&lt;Unit / Integration / System&gt;Test Report</t>
        </is>
      </c>
      <c r="B1" s="118" t="n"/>
      <c r="C1" s="118" t="n"/>
      <c r="D1" s="118" t="n"/>
      <c r="E1" s="119" t="n"/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</row>
    <row r="2" ht="17.5" customFormat="1" customHeight="1" s="18">
      <c r="A2" s="102" t="n"/>
      <c r="B2" s="120" t="n"/>
      <c r="C2" s="120" t="n"/>
      <c r="D2" s="120" t="n"/>
      <c r="E2" s="120" t="n"/>
      <c r="F2" s="120" t="n"/>
      <c r="G2" s="120" t="n"/>
      <c r="H2" s="120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</row>
    <row r="3" ht="15.5" customFormat="1" customHeight="1" s="18">
      <c r="A3" s="101" t="inlineStr">
        <is>
          <t>Test Iteration Number                                                              :</t>
        </is>
      </c>
      <c r="B3" s="120" t="n"/>
      <c r="C3" s="120" t="n"/>
      <c r="D3" s="88" t="inlineStr">
        <is>
          <t>3rd Iteration</t>
        </is>
      </c>
      <c r="E3" s="121" t="n"/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Q3" s="103" t="n"/>
      <c r="R3" s="103" t="n"/>
      <c r="S3" s="103" t="n"/>
      <c r="T3" s="103" t="n"/>
    </row>
    <row r="4" ht="15.5" customFormat="1" customHeight="1" s="18">
      <c r="A4" s="101" t="inlineStr">
        <is>
          <t>Test Plan Reference                                                                  :</t>
        </is>
      </c>
      <c r="B4" s="120" t="n"/>
      <c r="C4" s="120" t="n"/>
      <c r="D4" s="88" t="n"/>
      <c r="E4" s="121" t="n"/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</row>
    <row r="5" ht="13.5" customFormat="1" customHeight="1" s="18">
      <c r="A5" s="101" t="inlineStr">
        <is>
          <t>Test hardware and Software environment                                :</t>
        </is>
      </c>
      <c r="B5" s="120" t="n"/>
      <c r="C5" s="120" t="n"/>
      <c r="D5" s="88" t="n"/>
      <c r="E5" s="121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</row>
    <row r="6" ht="15.5" customFormat="1" customHeight="1" s="18">
      <c r="A6" s="101" t="inlineStr">
        <is>
          <t>Constraints If any                                                                       :</t>
        </is>
      </c>
      <c r="B6" s="120" t="n"/>
      <c r="C6" s="120" t="n"/>
      <c r="D6" s="88" t="n"/>
      <c r="E6" s="121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</row>
    <row r="7" ht="31.5" customFormat="1" customHeight="1" s="18">
      <c r="A7" s="94" t="inlineStr">
        <is>
          <t xml:space="preserve">Deviations If any from SRS, SDS/HLD&amp;LLD, Preceding documents                                                                                  :       </t>
        </is>
      </c>
      <c r="B7" s="120" t="n"/>
      <c r="C7" s="120" t="n"/>
      <c r="D7" s="88" t="n"/>
      <c r="E7" s="121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</row>
    <row r="8" ht="15.5" customFormat="1" customHeight="1" s="18">
      <c r="A8" s="94" t="inlineStr">
        <is>
          <t>Effort Spent on Conducting Testing (in Person Days)             :</t>
        </is>
      </c>
      <c r="B8" s="120" t="n"/>
      <c r="C8" s="120" t="n"/>
      <c r="D8" s="88" t="n"/>
      <c r="E8" s="121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</row>
    <row r="9" ht="15.75" customFormat="1" customHeight="1" s="18">
      <c r="A9" s="94" t="inlineStr">
        <is>
          <t>Effort spent on  Preparation of Test Report/Review               :</t>
        </is>
      </c>
      <c r="B9" s="120" t="n"/>
      <c r="C9" s="120" t="n"/>
      <c r="D9" s="88" t="n"/>
      <c r="E9" s="121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</row>
    <row r="10" ht="25.5" customFormat="1" customHeight="1" s="18">
      <c r="A10" s="92" t="n"/>
      <c r="B10" s="120" t="n"/>
      <c r="C10" s="120" t="n"/>
      <c r="D10" s="120" t="n"/>
      <c r="E10" s="120" t="n"/>
      <c r="F10" s="120" t="n"/>
      <c r="G10" s="120" t="n"/>
      <c r="H10" s="120" t="n"/>
      <c r="I10" s="93" t="n"/>
      <c r="J10" s="93" t="n"/>
      <c r="K10" s="103" t="n"/>
      <c r="L10" s="93" t="n"/>
      <c r="M10" s="93" t="n"/>
      <c r="N10" s="103" t="n"/>
      <c r="O10" s="93" t="n"/>
      <c r="P10" s="93" t="n"/>
      <c r="Q10" s="103" t="n"/>
      <c r="R10" s="93" t="n"/>
      <c r="S10" s="93" t="n"/>
      <c r="T10" s="103" t="n"/>
    </row>
    <row r="11" ht="15.5" customFormat="1" customHeight="1" s="18">
      <c r="A11" s="5" t="inlineStr">
        <is>
          <t>&lt;&lt;&lt;</t>
        </is>
      </c>
      <c r="B11" s="92" t="n"/>
      <c r="C11" s="92" t="n"/>
      <c r="D11" s="92" t="n"/>
      <c r="E11" s="42" t="n"/>
      <c r="F11" s="6" t="n"/>
      <c r="G11" s="92" t="n"/>
      <c r="H11" s="92" t="n"/>
      <c r="I11" s="6" t="n"/>
      <c r="J11" s="92" t="n"/>
      <c r="K11" s="92" t="n"/>
      <c r="L11" s="6" t="n"/>
      <c r="M11" s="92" t="n"/>
      <c r="N11" s="92" t="n"/>
      <c r="O11" s="6" t="n"/>
      <c r="P11" s="92" t="n"/>
      <c r="Q11" s="92" t="n"/>
      <c r="R11" s="6" t="n"/>
      <c r="S11" s="92" t="n"/>
      <c r="T11" s="92" t="n"/>
      <c r="U11" s="7" t="n"/>
    </row>
    <row r="12" ht="17.5" customFormat="1" customHeight="1" s="18">
      <c r="A12" s="76" t="inlineStr">
        <is>
          <t>Test Case Results</t>
        </is>
      </c>
      <c r="B12" s="120" t="n"/>
      <c r="C12" s="120" t="n"/>
      <c r="D12" s="120" t="n"/>
      <c r="E12" s="120" t="n"/>
      <c r="F12" s="120" t="n"/>
      <c r="G12" s="120" t="n"/>
      <c r="H12" s="120" t="n"/>
      <c r="I12" s="77" t="n"/>
      <c r="J12" s="77" t="n"/>
      <c r="K12" s="103" t="n"/>
      <c r="L12" s="77" t="n"/>
      <c r="M12" s="77" t="n"/>
      <c r="N12" s="103" t="n"/>
      <c r="O12" s="77" t="n"/>
      <c r="P12" s="77" t="n"/>
      <c r="Q12" s="103" t="n"/>
      <c r="R12" s="77" t="n"/>
      <c r="S12" s="77" t="n"/>
      <c r="T12" s="103" t="n"/>
    </row>
    <row r="13" ht="19.5" customHeight="1">
      <c r="A13" s="122" t="inlineStr">
        <is>
          <t>Test Case ID &amp; Name</t>
        </is>
      </c>
      <c r="B13" s="123" t="inlineStr">
        <is>
          <t>Test Procedure</t>
        </is>
      </c>
      <c r="C13" s="118" t="n"/>
      <c r="D13" s="118" t="n"/>
      <c r="E13" s="119" t="n"/>
      <c r="F13" s="12" t="n"/>
      <c r="G13" s="118" t="n"/>
      <c r="H13" s="119" t="n"/>
      <c r="I13" s="8" t="n"/>
      <c r="J13" s="8" t="n"/>
      <c r="K13" s="9" t="n"/>
      <c r="L13" s="8" t="n"/>
      <c r="M13" s="8" t="n"/>
      <c r="N13" s="9" t="n"/>
      <c r="O13" s="8" t="n"/>
      <c r="P13" s="8" t="n"/>
      <c r="Q13" s="9" t="n"/>
      <c r="R13" s="8" t="n"/>
      <c r="S13" s="8" t="n"/>
      <c r="T13" s="9" t="n"/>
      <c r="U13" s="103" t="n"/>
    </row>
    <row r="14" ht="15.75" customHeight="1">
      <c r="A14" s="124" t="n"/>
      <c r="B14" s="125" t="inlineStr">
        <is>
          <t>Preconditions</t>
        </is>
      </c>
      <c r="C14" s="78" t="inlineStr">
        <is>
          <t>Verification</t>
        </is>
      </c>
      <c r="D14" s="118" t="n"/>
      <c r="E14" s="118" t="n"/>
      <c r="F14" s="75" t="inlineStr">
        <is>
          <t>Iteration 1</t>
        </is>
      </c>
      <c r="G14" s="118" t="n"/>
      <c r="H14" s="119" t="n"/>
      <c r="I14" s="75" t="inlineStr">
        <is>
          <t>Iteration 2</t>
        </is>
      </c>
      <c r="J14" s="118" t="n"/>
      <c r="K14" s="119" t="n"/>
      <c r="L14" s="75" t="inlineStr">
        <is>
          <t>Iteration 3</t>
        </is>
      </c>
      <c r="M14" s="118" t="n"/>
      <c r="N14" s="119" t="n"/>
      <c r="O14" s="75" t="inlineStr">
        <is>
          <t>Iteration 4</t>
        </is>
      </c>
      <c r="P14" s="118" t="n"/>
      <c r="Q14" s="119" t="n"/>
      <c r="R14" s="75" t="inlineStr">
        <is>
          <t>Iteration 5</t>
        </is>
      </c>
      <c r="S14" s="118" t="n"/>
      <c r="T14" s="119" t="n"/>
      <c r="U14" s="103" t="n"/>
    </row>
    <row r="15" ht="69.5" customHeight="1">
      <c r="A15" s="126" t="n"/>
      <c r="B15" s="127" t="n"/>
      <c r="C15" s="75" t="inlineStr">
        <is>
          <t>Test Condition</t>
        </is>
      </c>
      <c r="D15" s="75" t="inlineStr">
        <is>
          <t>Step with description</t>
        </is>
      </c>
      <c r="E15" s="79" t="inlineStr">
        <is>
          <t>Expected Result</t>
        </is>
      </c>
      <c r="F15" s="12" t="inlineStr">
        <is>
          <t>Actual Result
&lt;Pass - P
Fail - F
Not Executed - NE&gt;</t>
        </is>
      </c>
      <c r="G15" s="12" t="inlineStr">
        <is>
          <t>Severity</t>
        </is>
      </c>
      <c r="H15" s="36" t="inlineStr">
        <is>
          <t>Remarks</t>
        </is>
      </c>
      <c r="I15" s="12" t="inlineStr">
        <is>
          <t>Actual Result
&lt;Pass - P
Fail - F
Not Executed - NE&gt;</t>
        </is>
      </c>
      <c r="J15" s="12" t="inlineStr">
        <is>
          <t>Severity</t>
        </is>
      </c>
      <c r="K15" s="36" t="inlineStr">
        <is>
          <t>Remarks</t>
        </is>
      </c>
      <c r="L15" s="12" t="inlineStr">
        <is>
          <t>Actual Result
&lt;Pass - P
Fail - F
Not Executed - NE&gt;</t>
        </is>
      </c>
      <c r="M15" s="12" t="inlineStr">
        <is>
          <t>Severity</t>
        </is>
      </c>
      <c r="N15" s="37" t="inlineStr">
        <is>
          <t>Remarks</t>
        </is>
      </c>
      <c r="O15" s="12" t="inlineStr">
        <is>
          <t>Actual Result
&lt;Pass - P
Fail - F
Not Executed - NE&gt;</t>
        </is>
      </c>
      <c r="P15" s="12" t="inlineStr">
        <is>
          <t>Severity</t>
        </is>
      </c>
      <c r="Q15" s="37" t="inlineStr">
        <is>
          <t>Remarks</t>
        </is>
      </c>
      <c r="R15" s="12" t="inlineStr">
        <is>
          <t>Actual Result
&lt;Pass - P
Fail - F
Not Executed - NE&gt;</t>
        </is>
      </c>
      <c r="S15" s="12" t="inlineStr">
        <is>
          <t>Severity</t>
        </is>
      </c>
      <c r="T15" s="36" t="inlineStr">
        <is>
          <t>Remarks</t>
        </is>
      </c>
      <c r="U15" s="103" t="n"/>
    </row>
    <row r="16" outlineLevel="1" ht="13" customHeight="1">
      <c r="A16" s="43">
        <f>IF(#REF!="","",#REF!)</f>
        <v/>
      </c>
      <c r="B16" s="43">
        <f>IF(#REF!="","",#REF!)</f>
        <v/>
      </c>
      <c r="C16" s="43">
        <f>IF(#REF!="","",#REF!)</f>
        <v/>
      </c>
      <c r="D16" s="44">
        <f>IF(#REF!="","",#REF!)</f>
        <v/>
      </c>
      <c r="E16" s="43">
        <f>IF(#REF!="","",#REF!)</f>
        <v/>
      </c>
      <c r="F16" s="13" t="n"/>
      <c r="G16" s="14" t="n"/>
      <c r="H16" s="14" t="n"/>
      <c r="I16" s="13" t="n"/>
      <c r="J16" s="14" t="n"/>
      <c r="K16" s="14" t="n"/>
      <c r="L16" s="13" t="n"/>
      <c r="M16" s="14" t="n"/>
      <c r="N16" s="38" t="n"/>
      <c r="O16" s="13" t="n"/>
      <c r="P16" s="14" t="n"/>
      <c r="Q16" s="38" t="n"/>
      <c r="R16" s="13" t="n"/>
      <c r="S16" s="14" t="n"/>
      <c r="T16" s="14" t="n"/>
      <c r="U16" s="103" t="n"/>
    </row>
    <row r="17" outlineLevel="1" ht="13" customHeight="1">
      <c r="A17" s="43">
        <f>IF(#REF!="","",#REF!)</f>
        <v/>
      </c>
      <c r="B17" s="43">
        <f>IF(#REF!="","",#REF!)</f>
        <v/>
      </c>
      <c r="C17" s="43">
        <f>IF(#REF!="","",#REF!)</f>
        <v/>
      </c>
      <c r="D17" s="44">
        <f>IF(#REF!="","",#REF!)</f>
        <v/>
      </c>
      <c r="E17" s="43">
        <f>IF(#REF!="","",#REF!)</f>
        <v/>
      </c>
      <c r="F17" s="13" t="n"/>
      <c r="G17" s="14" t="n"/>
      <c r="H17" s="14" t="n"/>
      <c r="I17" s="13" t="n"/>
      <c r="J17" s="14" t="n"/>
      <c r="K17" s="14" t="n"/>
      <c r="L17" s="13" t="n"/>
      <c r="M17" s="14" t="n"/>
      <c r="N17" s="38" t="n"/>
      <c r="O17" s="13" t="n"/>
      <c r="P17" s="14" t="n"/>
      <c r="Q17" s="38" t="n"/>
      <c r="R17" s="13" t="n"/>
      <c r="S17" s="14" t="n"/>
      <c r="T17" s="14" t="n"/>
      <c r="U17" s="103" t="n"/>
    </row>
    <row r="18" outlineLevel="1" ht="13" customFormat="1" customHeight="1" s="41">
      <c r="A18" s="43">
        <f>IF(#REF!="","",#REF!)</f>
        <v/>
      </c>
      <c r="B18" s="43">
        <f>IF(#REF!="","",#REF!)</f>
        <v/>
      </c>
      <c r="C18" s="43">
        <f>IF(#REF!="","",#REF!)</f>
        <v/>
      </c>
      <c r="D18" s="44">
        <f>IF(#REF!="","",#REF!)</f>
        <v/>
      </c>
      <c r="E18" s="43">
        <f>IF(#REF!="","",#REF!)</f>
        <v/>
      </c>
      <c r="F18" s="15" t="n"/>
      <c r="G18" s="16" t="n"/>
      <c r="H18" s="16" t="n"/>
      <c r="I18" s="15" t="n"/>
      <c r="J18" s="16" t="n"/>
      <c r="K18" s="16" t="n"/>
      <c r="L18" s="15" t="n"/>
      <c r="M18" s="16" t="n"/>
      <c r="N18" s="39" t="n"/>
      <c r="O18" s="15" t="n"/>
      <c r="P18" s="16" t="n"/>
      <c r="Q18" s="39" t="n"/>
      <c r="R18" s="15" t="n"/>
      <c r="S18" s="16" t="n"/>
      <c r="T18" s="16" t="n"/>
      <c r="U18" s="17" t="n"/>
    </row>
    <row r="19" outlineLevel="1" ht="13" customHeight="1">
      <c r="A19" s="43">
        <f>IF(#REF!="","",#REF!)</f>
        <v/>
      </c>
      <c r="B19" s="43">
        <f>IF(#REF!="","",#REF!)</f>
        <v/>
      </c>
      <c r="C19" s="43">
        <f>IF(#REF!="","",#REF!)</f>
        <v/>
      </c>
      <c r="D19" s="44">
        <f>IF(#REF!="","",#REF!)</f>
        <v/>
      </c>
      <c r="E19" s="43">
        <f>IF(#REF!="","",#REF!)</f>
        <v/>
      </c>
      <c r="F19" s="13" t="n"/>
      <c r="G19" s="14" t="n"/>
      <c r="H19" s="14" t="n"/>
      <c r="I19" s="13" t="n"/>
      <c r="J19" s="14" t="n"/>
      <c r="K19" s="14" t="n"/>
      <c r="L19" s="13" t="n"/>
      <c r="M19" s="14" t="n"/>
      <c r="N19" s="38" t="n"/>
      <c r="O19" s="13" t="n"/>
      <c r="P19" s="14" t="n"/>
      <c r="Q19" s="38" t="n"/>
      <c r="R19" s="13" t="n"/>
      <c r="S19" s="14" t="n"/>
      <c r="T19" s="14" t="n"/>
      <c r="U19" s="103" t="n"/>
    </row>
    <row r="20" outlineLevel="1" ht="13" customHeight="1">
      <c r="A20" s="43">
        <f>IF(#REF!="","",#REF!)</f>
        <v/>
      </c>
      <c r="B20" s="43">
        <f>IF(#REF!="","",#REF!)</f>
        <v/>
      </c>
      <c r="C20" s="43">
        <f>IF(#REF!="","",#REF!)</f>
        <v/>
      </c>
      <c r="D20" s="44">
        <f>IF(#REF!="","",#REF!)</f>
        <v/>
      </c>
      <c r="E20" s="43">
        <f>IF(#REF!="","",#REF!)</f>
        <v/>
      </c>
      <c r="F20" s="13" t="n"/>
      <c r="G20" s="14" t="n"/>
      <c r="H20" s="14" t="n"/>
      <c r="I20" s="13" t="n"/>
      <c r="J20" s="14" t="n"/>
      <c r="K20" s="14" t="n"/>
      <c r="L20" s="13" t="n"/>
      <c r="M20" s="14" t="n"/>
      <c r="N20" s="38" t="n"/>
      <c r="O20" s="13" t="n"/>
      <c r="P20" s="14" t="n"/>
      <c r="Q20" s="38" t="n"/>
      <c r="R20" s="13" t="n"/>
      <c r="S20" s="14" t="n"/>
      <c r="T20" s="14" t="n"/>
      <c r="U20" s="103" t="n"/>
    </row>
    <row r="21" outlineLevel="1" ht="13" customHeight="1">
      <c r="A21" s="43">
        <f>IF(#REF!="","",#REF!)</f>
        <v/>
      </c>
      <c r="B21" s="43">
        <f>IF(#REF!="","",#REF!)</f>
        <v/>
      </c>
      <c r="C21" s="43">
        <f>IF(#REF!="","",#REF!)</f>
        <v/>
      </c>
      <c r="D21" s="44">
        <f>IF(#REF!="","",#REF!)</f>
        <v/>
      </c>
      <c r="E21" s="43">
        <f>IF(#REF!="","",#REF!)</f>
        <v/>
      </c>
      <c r="F21" s="13" t="n"/>
      <c r="G21" s="14" t="n"/>
      <c r="H21" s="14" t="n"/>
      <c r="I21" s="13" t="n"/>
      <c r="J21" s="14" t="n"/>
      <c r="K21" s="14" t="n"/>
      <c r="L21" s="13" t="n"/>
      <c r="M21" s="14" t="n"/>
      <c r="N21" s="38" t="n"/>
      <c r="O21" s="13" t="n"/>
      <c r="P21" s="14" t="n"/>
      <c r="Q21" s="38" t="n"/>
      <c r="R21" s="13" t="n"/>
      <c r="S21" s="14" t="n"/>
      <c r="T21" s="14" t="n"/>
      <c r="U21" s="103" t="n"/>
    </row>
    <row r="22" outlineLevel="1" ht="13" customHeight="1">
      <c r="A22" s="43">
        <f>IF(#REF!="","",#REF!)</f>
        <v/>
      </c>
      <c r="B22" s="43">
        <f>IF(#REF!="","",#REF!)</f>
        <v/>
      </c>
      <c r="C22" s="43">
        <f>IF(#REF!="","",#REF!)</f>
        <v/>
      </c>
      <c r="D22" s="44">
        <f>IF(#REF!="","",#REF!)</f>
        <v/>
      </c>
      <c r="E22" s="43">
        <f>IF(#REF!="","",#REF!)</f>
        <v/>
      </c>
      <c r="F22" s="13" t="n"/>
      <c r="G22" s="14" t="n"/>
      <c r="H22" s="14" t="n"/>
      <c r="I22" s="13" t="n"/>
      <c r="J22" s="14" t="n"/>
      <c r="K22" s="14" t="n"/>
      <c r="L22" s="13" t="n"/>
      <c r="M22" s="14" t="n"/>
      <c r="N22" s="38" t="n"/>
      <c r="O22" s="13" t="n"/>
      <c r="P22" s="14" t="n"/>
      <c r="Q22" s="38" t="n"/>
      <c r="R22" s="13" t="n"/>
      <c r="S22" s="14" t="n"/>
      <c r="T22" s="14" t="n"/>
      <c r="U22" s="103" t="n"/>
    </row>
    <row r="23" outlineLevel="1" ht="13" customHeight="1">
      <c r="A23" s="43">
        <f>IF(#REF!="","",#REF!)</f>
        <v/>
      </c>
      <c r="B23" s="43">
        <f>IF(#REF!="","",#REF!)</f>
        <v/>
      </c>
      <c r="C23" s="43">
        <f>IF(#REF!="","",#REF!)</f>
        <v/>
      </c>
      <c r="D23" s="44">
        <f>IF(#REF!="","",#REF!)</f>
        <v/>
      </c>
      <c r="E23" s="43">
        <f>IF(#REF!="","",#REF!)</f>
        <v/>
      </c>
      <c r="F23" s="13" t="n"/>
      <c r="G23" s="14" t="n"/>
      <c r="H23" s="14" t="n"/>
      <c r="I23" s="13" t="n"/>
      <c r="J23" s="14" t="n"/>
      <c r="K23" s="14" t="n"/>
      <c r="L23" s="13" t="n"/>
      <c r="M23" s="14" t="n"/>
      <c r="N23" s="38" t="n"/>
      <c r="O23" s="13" t="n"/>
      <c r="P23" s="14" t="n"/>
      <c r="Q23" s="38" t="n"/>
      <c r="R23" s="13" t="n"/>
      <c r="S23" s="14" t="n"/>
      <c r="T23" s="14" t="n"/>
      <c r="U23" s="103" t="n"/>
    </row>
    <row r="24" outlineLevel="1" ht="13" customHeight="1">
      <c r="A24" s="43">
        <f>IF(#REF!="","",#REF!)</f>
        <v/>
      </c>
      <c r="B24" s="43">
        <f>IF(#REF!="","",#REF!)</f>
        <v/>
      </c>
      <c r="C24" s="43">
        <f>IF(#REF!="","",#REF!)</f>
        <v/>
      </c>
      <c r="D24" s="44">
        <f>IF(#REF!="","",#REF!)</f>
        <v/>
      </c>
      <c r="E24" s="43">
        <f>IF(#REF!="","",#REF!)</f>
        <v/>
      </c>
      <c r="F24" s="13" t="n"/>
      <c r="G24" s="14" t="n"/>
      <c r="H24" s="14" t="n"/>
      <c r="I24" s="13" t="n"/>
      <c r="J24" s="14" t="n"/>
      <c r="K24" s="14" t="n"/>
      <c r="L24" s="13" t="n"/>
      <c r="M24" s="14" t="n"/>
      <c r="N24" s="38" t="n"/>
      <c r="O24" s="13" t="n"/>
      <c r="P24" s="14" t="n"/>
      <c r="Q24" s="38" t="n"/>
      <c r="R24" s="13" t="n"/>
      <c r="S24" s="14" t="n"/>
      <c r="T24" s="14" t="n"/>
      <c r="U24" s="103" t="n"/>
    </row>
    <row r="25" outlineLevel="1" ht="13" customHeight="1">
      <c r="A25" s="43">
        <f>IF(#REF!="","",#REF!)</f>
        <v/>
      </c>
      <c r="B25" s="43">
        <f>IF(#REF!="","",#REF!)</f>
        <v/>
      </c>
      <c r="C25" s="43">
        <f>IF(#REF!="","",#REF!)</f>
        <v/>
      </c>
      <c r="D25" s="44">
        <f>IF(#REF!="","",#REF!)</f>
        <v/>
      </c>
      <c r="E25" s="43">
        <f>IF(#REF!="","",#REF!)</f>
        <v/>
      </c>
      <c r="F25" s="13" t="n"/>
      <c r="G25" s="14" t="n"/>
      <c r="H25" s="14" t="n"/>
      <c r="I25" s="13" t="n"/>
      <c r="J25" s="14" t="n"/>
      <c r="K25" s="14" t="n"/>
      <c r="L25" s="13" t="n"/>
      <c r="M25" s="14" t="n"/>
      <c r="N25" s="38" t="n"/>
      <c r="O25" s="13" t="n"/>
      <c r="P25" s="14" t="n"/>
      <c r="Q25" s="38" t="n"/>
      <c r="R25" s="13" t="n"/>
      <c r="S25" s="14" t="n"/>
      <c r="T25" s="14" t="n"/>
      <c r="U25" s="103" t="n"/>
    </row>
    <row r="26" outlineLevel="1" ht="13" customHeight="1">
      <c r="A26" s="43">
        <f>IF(#REF!="","",#REF!)</f>
        <v/>
      </c>
      <c r="B26" s="43">
        <f>IF(#REF!="","",#REF!)</f>
        <v/>
      </c>
      <c r="C26" s="43">
        <f>IF(#REF!="","",#REF!)</f>
        <v/>
      </c>
      <c r="D26" s="44">
        <f>IF(#REF!="","",#REF!)</f>
        <v/>
      </c>
      <c r="E26" s="43">
        <f>IF(#REF!="","",#REF!)</f>
        <v/>
      </c>
      <c r="F26" s="13" t="n"/>
      <c r="G26" s="14" t="n"/>
      <c r="H26" s="14" t="n"/>
      <c r="I26" s="13" t="n"/>
      <c r="J26" s="14" t="n"/>
      <c r="K26" s="14" t="n"/>
      <c r="L26" s="13" t="n"/>
      <c r="M26" s="14" t="n"/>
      <c r="N26" s="38" t="n"/>
      <c r="O26" s="13" t="n"/>
      <c r="P26" s="14" t="n"/>
      <c r="Q26" s="38" t="n"/>
      <c r="R26" s="13" t="n"/>
      <c r="S26" s="14" t="n"/>
      <c r="T26" s="14" t="n"/>
      <c r="U26" s="103" t="n"/>
    </row>
    <row r="27" outlineLevel="1" ht="13" customHeight="1">
      <c r="A27" s="43">
        <f>IF(#REF!="","",#REF!)</f>
        <v/>
      </c>
      <c r="B27" s="43">
        <f>IF(#REF!="","",#REF!)</f>
        <v/>
      </c>
      <c r="C27" s="43">
        <f>IF(#REF!="","",#REF!)</f>
        <v/>
      </c>
      <c r="D27" s="44">
        <f>IF(#REF!="","",#REF!)</f>
        <v/>
      </c>
      <c r="E27" s="43">
        <f>IF(#REF!="","",#REF!)</f>
        <v/>
      </c>
      <c r="F27" s="13" t="n"/>
      <c r="G27" s="14" t="n"/>
      <c r="H27" s="14" t="n"/>
      <c r="I27" s="13" t="n"/>
      <c r="J27" s="14" t="n"/>
      <c r="K27" s="14" t="n"/>
      <c r="L27" s="13" t="n"/>
      <c r="M27" s="14" t="n"/>
      <c r="N27" s="38" t="n"/>
      <c r="O27" s="13" t="n"/>
      <c r="P27" s="14" t="n"/>
      <c r="Q27" s="38" t="n"/>
      <c r="R27" s="13" t="n"/>
      <c r="S27" s="14" t="n"/>
      <c r="T27" s="14" t="n"/>
      <c r="U27" s="103" t="n"/>
    </row>
    <row r="28" outlineLevel="1" ht="13" customHeight="1">
      <c r="A28" s="43">
        <f>IF(#REF!="","",#REF!)</f>
        <v/>
      </c>
      <c r="B28" s="43">
        <f>IF(#REF!="","",#REF!)</f>
        <v/>
      </c>
      <c r="C28" s="43">
        <f>IF(#REF!="","",#REF!)</f>
        <v/>
      </c>
      <c r="D28" s="44">
        <f>IF(#REF!="","",#REF!)</f>
        <v/>
      </c>
      <c r="E28" s="43">
        <f>IF(#REF!="","",#REF!)</f>
        <v/>
      </c>
      <c r="F28" s="13" t="n"/>
      <c r="G28" s="14" t="n"/>
      <c r="H28" s="14" t="n"/>
      <c r="I28" s="13" t="n"/>
      <c r="J28" s="14" t="n"/>
      <c r="K28" s="14" t="n"/>
      <c r="L28" s="13" t="n"/>
      <c r="M28" s="14" t="n"/>
      <c r="N28" s="38" t="n"/>
      <c r="O28" s="13" t="n"/>
      <c r="P28" s="14" t="n"/>
      <c r="Q28" s="38" t="n"/>
      <c r="R28" s="13" t="n"/>
      <c r="S28" s="14" t="n"/>
      <c r="T28" s="14" t="n"/>
      <c r="U28" s="103" t="n"/>
    </row>
    <row r="29" outlineLevel="1" ht="13" customHeight="1">
      <c r="A29" s="43">
        <f>IF(#REF!="","",#REF!)</f>
        <v/>
      </c>
      <c r="B29" s="43">
        <f>IF(#REF!="","",#REF!)</f>
        <v/>
      </c>
      <c r="C29" s="43">
        <f>IF(#REF!="","",#REF!)</f>
        <v/>
      </c>
      <c r="D29" s="44">
        <f>IF(#REF!="","",#REF!)</f>
        <v/>
      </c>
      <c r="E29" s="43">
        <f>IF(#REF!="","",#REF!)</f>
        <v/>
      </c>
      <c r="F29" s="13" t="n"/>
      <c r="G29" s="14" t="n"/>
      <c r="H29" s="14" t="n"/>
      <c r="I29" s="13" t="n"/>
      <c r="J29" s="14" t="n"/>
      <c r="K29" s="14" t="n"/>
      <c r="L29" s="13" t="n"/>
      <c r="M29" s="14" t="n"/>
      <c r="N29" s="38" t="n"/>
      <c r="O29" s="13" t="n"/>
      <c r="P29" s="14" t="n"/>
      <c r="Q29" s="38" t="n"/>
      <c r="R29" s="13" t="n"/>
      <c r="S29" s="14" t="n"/>
      <c r="T29" s="14" t="n"/>
      <c r="U29" s="103" t="n"/>
    </row>
    <row r="30" outlineLevel="1" ht="13" customHeight="1">
      <c r="A30" s="43">
        <f>IF(#REF!="","",#REF!)</f>
        <v/>
      </c>
      <c r="B30" s="43">
        <f>IF(#REF!="","",#REF!)</f>
        <v/>
      </c>
      <c r="C30" s="43">
        <f>IF(#REF!="","",#REF!)</f>
        <v/>
      </c>
      <c r="D30" s="44">
        <f>IF(#REF!="","",#REF!)</f>
        <v/>
      </c>
      <c r="E30" s="43">
        <f>IF(#REF!="","",#REF!)</f>
        <v/>
      </c>
      <c r="F30" s="13" t="n"/>
      <c r="G30" s="14" t="n"/>
      <c r="H30" s="14" t="n"/>
      <c r="I30" s="13" t="n"/>
      <c r="J30" s="14" t="n"/>
      <c r="K30" s="14" t="n"/>
      <c r="L30" s="13" t="n"/>
      <c r="M30" s="14" t="n"/>
      <c r="N30" s="38" t="n"/>
      <c r="O30" s="13" t="n"/>
      <c r="P30" s="14" t="n"/>
      <c r="Q30" s="38" t="n"/>
      <c r="R30" s="13" t="n"/>
      <c r="S30" s="14" t="n"/>
      <c r="T30" s="14" t="n"/>
      <c r="U30" s="103" t="n"/>
    </row>
    <row r="31" outlineLevel="1" ht="13" customHeight="1">
      <c r="A31" s="43">
        <f>IF(#REF!="","",#REF!)</f>
        <v/>
      </c>
      <c r="B31" s="43">
        <f>IF(#REF!="","",#REF!)</f>
        <v/>
      </c>
      <c r="C31" s="43">
        <f>IF(#REF!="","",#REF!)</f>
        <v/>
      </c>
      <c r="D31" s="44">
        <f>IF(#REF!="","",#REF!)</f>
        <v/>
      </c>
      <c r="E31" s="43">
        <f>IF(#REF!="","",#REF!)</f>
        <v/>
      </c>
      <c r="F31" s="13" t="n"/>
      <c r="G31" s="14" t="n"/>
      <c r="H31" s="14" t="n"/>
      <c r="I31" s="13" t="n"/>
      <c r="J31" s="14" t="n"/>
      <c r="K31" s="14" t="n"/>
      <c r="L31" s="13" t="n"/>
      <c r="M31" s="14" t="n"/>
      <c r="N31" s="38" t="n"/>
      <c r="O31" s="13" t="n"/>
      <c r="P31" s="14" t="n"/>
      <c r="Q31" s="38" t="n"/>
      <c r="R31" s="13" t="n"/>
      <c r="S31" s="14" t="n"/>
      <c r="T31" s="14" t="n"/>
      <c r="U31" s="103" t="n"/>
    </row>
    <row r="32" outlineLevel="1" ht="13" customHeight="1">
      <c r="A32" s="43">
        <f>IF(#REF!="","",#REF!)</f>
        <v/>
      </c>
      <c r="B32" s="43">
        <f>IF(#REF!="","",#REF!)</f>
        <v/>
      </c>
      <c r="C32" s="43">
        <f>IF(#REF!="","",#REF!)</f>
        <v/>
      </c>
      <c r="D32" s="44">
        <f>IF(#REF!="","",#REF!)</f>
        <v/>
      </c>
      <c r="E32" s="43">
        <f>IF(#REF!="","",#REF!)</f>
        <v/>
      </c>
      <c r="F32" s="13" t="n"/>
      <c r="G32" s="14" t="n"/>
      <c r="H32" s="14" t="n"/>
      <c r="I32" s="13" t="n"/>
      <c r="J32" s="14" t="n"/>
      <c r="K32" s="14" t="n"/>
      <c r="L32" s="13" t="n"/>
      <c r="M32" s="14" t="n"/>
      <c r="N32" s="38" t="n"/>
      <c r="O32" s="13" t="n"/>
      <c r="P32" s="14" t="n"/>
      <c r="Q32" s="38" t="n"/>
      <c r="R32" s="13" t="n"/>
      <c r="S32" s="14" t="n"/>
      <c r="T32" s="14" t="n"/>
      <c r="U32" s="103" t="n"/>
    </row>
    <row r="33" outlineLevel="1" ht="13" customHeight="1">
      <c r="A33" s="43">
        <f>IF(#REF!="","",#REF!)</f>
        <v/>
      </c>
      <c r="B33" s="43">
        <f>IF(#REF!="","",#REF!)</f>
        <v/>
      </c>
      <c r="C33" s="43">
        <f>IF(#REF!="","",#REF!)</f>
        <v/>
      </c>
      <c r="D33" s="44">
        <f>IF(#REF!="","",#REF!)</f>
        <v/>
      </c>
      <c r="E33" s="43">
        <f>IF(#REF!="","",#REF!)</f>
        <v/>
      </c>
      <c r="F33" s="13" t="n"/>
      <c r="G33" s="14" t="n"/>
      <c r="H33" s="14" t="n"/>
      <c r="I33" s="13" t="n"/>
      <c r="J33" s="14" t="n"/>
      <c r="K33" s="14" t="n"/>
      <c r="L33" s="13" t="n"/>
      <c r="M33" s="14" t="n"/>
      <c r="N33" s="38" t="n"/>
      <c r="O33" s="13" t="n"/>
      <c r="P33" s="14" t="n"/>
      <c r="Q33" s="38" t="n"/>
      <c r="R33" s="13" t="n"/>
      <c r="S33" s="14" t="n"/>
      <c r="T33" s="14" t="n"/>
      <c r="U33" s="103" t="n"/>
    </row>
    <row r="34" outlineLevel="1" ht="13" customHeight="1">
      <c r="A34" s="43">
        <f>IF(#REF!="","",#REF!)</f>
        <v/>
      </c>
      <c r="B34" s="43">
        <f>IF(#REF!="","",#REF!)</f>
        <v/>
      </c>
      <c r="C34" s="43">
        <f>IF(#REF!="","",#REF!)</f>
        <v/>
      </c>
      <c r="D34" s="44">
        <f>IF(#REF!="","",#REF!)</f>
        <v/>
      </c>
      <c r="E34" s="43">
        <f>IF(#REF!="","",#REF!)</f>
        <v/>
      </c>
      <c r="F34" s="13" t="n"/>
      <c r="G34" s="14" t="n"/>
      <c r="H34" s="14" t="n"/>
      <c r="I34" s="13" t="n"/>
      <c r="J34" s="14" t="n"/>
      <c r="K34" s="14" t="n"/>
      <c r="L34" s="13" t="n"/>
      <c r="M34" s="14" t="n"/>
      <c r="N34" s="38" t="n"/>
      <c r="O34" s="13" t="n"/>
      <c r="P34" s="14" t="n"/>
      <c r="Q34" s="38" t="n"/>
      <c r="R34" s="13" t="n"/>
      <c r="S34" s="14" t="n"/>
      <c r="T34" s="14" t="n"/>
      <c r="U34" s="103" t="n"/>
    </row>
    <row r="35" outlineLevel="1" ht="13" customHeight="1">
      <c r="A35" s="43">
        <f>IF(#REF!="","",#REF!)</f>
        <v/>
      </c>
      <c r="B35" s="43">
        <f>IF(#REF!="","",#REF!)</f>
        <v/>
      </c>
      <c r="C35" s="43">
        <f>IF(#REF!="","",#REF!)</f>
        <v/>
      </c>
      <c r="D35" s="44">
        <f>IF(#REF!="","",#REF!)</f>
        <v/>
      </c>
      <c r="E35" s="43">
        <f>IF(#REF!="","",#REF!)</f>
        <v/>
      </c>
      <c r="F35" s="13" t="n"/>
      <c r="G35" s="14" t="n"/>
      <c r="H35" s="14" t="n"/>
      <c r="I35" s="13" t="n"/>
      <c r="J35" s="14" t="n"/>
      <c r="K35" s="14" t="n"/>
      <c r="L35" s="13" t="n"/>
      <c r="M35" s="14" t="n"/>
      <c r="N35" s="38" t="n"/>
      <c r="O35" s="13" t="n"/>
      <c r="P35" s="14" t="n"/>
      <c r="Q35" s="38" t="n"/>
      <c r="R35" s="13" t="n"/>
      <c r="S35" s="14" t="n"/>
      <c r="T35" s="14" t="n"/>
      <c r="U35" s="103" t="n"/>
    </row>
    <row r="36" outlineLevel="1" ht="13" customHeight="1">
      <c r="A36" s="43">
        <f>IF(#REF!="","",#REF!)</f>
        <v/>
      </c>
      <c r="B36" s="43">
        <f>IF(#REF!="","",#REF!)</f>
        <v/>
      </c>
      <c r="C36" s="43">
        <f>IF(#REF!="","",#REF!)</f>
        <v/>
      </c>
      <c r="D36" s="44">
        <f>IF(#REF!="","",#REF!)</f>
        <v/>
      </c>
      <c r="E36" s="43">
        <f>IF(#REF!="","",#REF!)</f>
        <v/>
      </c>
      <c r="F36" s="13" t="n"/>
      <c r="G36" s="14" t="n"/>
      <c r="H36" s="14" t="n"/>
      <c r="I36" s="13" t="n"/>
      <c r="J36" s="14" t="n"/>
      <c r="K36" s="14" t="n"/>
      <c r="L36" s="13" t="n"/>
      <c r="M36" s="14" t="n"/>
      <c r="N36" s="38" t="n"/>
      <c r="O36" s="13" t="n"/>
      <c r="P36" s="14" t="n"/>
      <c r="Q36" s="38" t="n"/>
      <c r="R36" s="13" t="n"/>
      <c r="S36" s="14" t="n"/>
      <c r="T36" s="14" t="n"/>
      <c r="U36" s="103" t="n"/>
    </row>
    <row r="37" outlineLevel="1" ht="13" customHeight="1">
      <c r="A37" s="43">
        <f>IF(#REF!="","",#REF!)</f>
        <v/>
      </c>
      <c r="B37" s="43">
        <f>IF(#REF!="","",#REF!)</f>
        <v/>
      </c>
      <c r="C37" s="43">
        <f>IF(#REF!="","",#REF!)</f>
        <v/>
      </c>
      <c r="D37" s="44">
        <f>IF(#REF!="","",#REF!)</f>
        <v/>
      </c>
      <c r="E37" s="43">
        <f>IF(#REF!="","",#REF!)</f>
        <v/>
      </c>
      <c r="F37" s="13" t="n"/>
      <c r="G37" s="14" t="n"/>
      <c r="H37" s="14" t="n"/>
      <c r="I37" s="13" t="n"/>
      <c r="J37" s="14" t="n"/>
      <c r="K37" s="14" t="n"/>
      <c r="L37" s="13" t="n"/>
      <c r="M37" s="14" t="n"/>
      <c r="N37" s="38" t="n"/>
      <c r="O37" s="13" t="n"/>
      <c r="P37" s="14" t="n"/>
      <c r="Q37" s="38" t="n"/>
      <c r="R37" s="13" t="n"/>
      <c r="S37" s="14" t="n"/>
      <c r="T37" s="14" t="n"/>
      <c r="U37" s="103" t="n"/>
    </row>
    <row r="38" outlineLevel="1" ht="13" customHeight="1">
      <c r="A38" s="43">
        <f>IF(#REF!="","",#REF!)</f>
        <v/>
      </c>
      <c r="B38" s="43">
        <f>IF(#REF!="","",#REF!)</f>
        <v/>
      </c>
      <c r="C38" s="43">
        <f>IF(#REF!="","",#REF!)</f>
        <v/>
      </c>
      <c r="D38" s="44">
        <f>IF(#REF!="","",#REF!)</f>
        <v/>
      </c>
      <c r="E38" s="43">
        <f>IF(#REF!="","",#REF!)</f>
        <v/>
      </c>
      <c r="F38" s="13" t="n"/>
      <c r="G38" s="14" t="n"/>
      <c r="H38" s="14" t="n"/>
      <c r="I38" s="13" t="n"/>
      <c r="J38" s="14" t="n"/>
      <c r="K38" s="14" t="n"/>
      <c r="L38" s="13" t="n"/>
      <c r="M38" s="14" t="n"/>
      <c r="N38" s="38" t="n"/>
      <c r="O38" s="13" t="n"/>
      <c r="P38" s="14" t="n"/>
      <c r="Q38" s="38" t="n"/>
      <c r="R38" s="13" t="n"/>
      <c r="S38" s="14" t="n"/>
      <c r="T38" s="14" t="n"/>
      <c r="U38" s="103" t="n"/>
    </row>
    <row r="39" outlineLevel="1" ht="13" customHeight="1">
      <c r="A39" s="43">
        <f>IF(#REF!="","",#REF!)</f>
        <v/>
      </c>
      <c r="B39" s="43">
        <f>IF(#REF!="","",#REF!)</f>
        <v/>
      </c>
      <c r="C39" s="43">
        <f>IF(#REF!="","",#REF!)</f>
        <v/>
      </c>
      <c r="D39" s="44">
        <f>IF(#REF!="","",#REF!)</f>
        <v/>
      </c>
      <c r="E39" s="43">
        <f>IF(#REF!="","",#REF!)</f>
        <v/>
      </c>
      <c r="F39" s="13" t="n"/>
      <c r="G39" s="14" t="n"/>
      <c r="H39" s="14" t="n"/>
      <c r="I39" s="13" t="n"/>
      <c r="J39" s="14" t="n"/>
      <c r="K39" s="14" t="n"/>
      <c r="L39" s="13" t="n"/>
      <c r="M39" s="14" t="n"/>
      <c r="N39" s="38" t="n"/>
      <c r="O39" s="13" t="n"/>
      <c r="P39" s="14" t="n"/>
      <c r="Q39" s="38" t="n"/>
      <c r="R39" s="13" t="n"/>
      <c r="S39" s="14" t="n"/>
      <c r="T39" s="14" t="n"/>
      <c r="U39" s="103" t="n"/>
    </row>
    <row r="40" collapsed="1" ht="13" customHeight="1">
      <c r="A40" s="43">
        <f>IF(#REF!="","",#REF!)</f>
        <v/>
      </c>
      <c r="B40" s="43">
        <f>IF(#REF!="","",#REF!)</f>
        <v/>
      </c>
      <c r="C40" s="43">
        <f>IF(#REF!="","",#REF!)</f>
        <v/>
      </c>
      <c r="D40" s="44">
        <f>IF(#REF!="","",#REF!)</f>
        <v/>
      </c>
      <c r="E40" s="43">
        <f>IF(#REF!="","",#REF!)</f>
        <v/>
      </c>
      <c r="F40" s="13" t="n"/>
      <c r="G40" s="14" t="n"/>
      <c r="H40" s="14" t="n"/>
      <c r="I40" s="13" t="n"/>
      <c r="J40" s="14" t="n"/>
      <c r="K40" s="14" t="n"/>
      <c r="L40" s="13" t="n"/>
      <c r="M40" s="14" t="n"/>
      <c r="N40" s="38" t="n"/>
      <c r="O40" s="13" t="n"/>
      <c r="P40" s="14" t="n"/>
      <c r="Q40" s="38" t="n"/>
      <c r="R40" s="13" t="n"/>
      <c r="S40" s="14" t="n"/>
      <c r="T40" s="14" t="n"/>
      <c r="U40" s="103" t="n"/>
    </row>
    <row r="41" outlineLevel="1" ht="13" customHeight="1">
      <c r="A41" s="43">
        <f>IF(#REF!="","",#REF!)</f>
        <v/>
      </c>
      <c r="B41" s="43">
        <f>IF(#REF!="","",#REF!)</f>
        <v/>
      </c>
      <c r="C41" s="43">
        <f>IF(#REF!="","",#REF!)</f>
        <v/>
      </c>
      <c r="D41" s="44">
        <f>IF(#REF!="","",#REF!)</f>
        <v/>
      </c>
      <c r="E41" s="43">
        <f>IF(#REF!="","",#REF!)</f>
        <v/>
      </c>
      <c r="F41" s="13" t="n"/>
      <c r="G41" s="14" t="n"/>
      <c r="H41" s="14" t="n"/>
      <c r="I41" s="13" t="n"/>
      <c r="J41" s="14" t="n"/>
      <c r="K41" s="14" t="n"/>
      <c r="L41" s="13" t="n"/>
      <c r="M41" s="14" t="n"/>
      <c r="N41" s="38" t="n"/>
      <c r="O41" s="13" t="n"/>
      <c r="P41" s="14" t="n"/>
      <c r="Q41" s="38" t="n"/>
      <c r="R41" s="13" t="n"/>
      <c r="S41" s="14" t="n"/>
      <c r="T41" s="14" t="n"/>
      <c r="U41" s="103" t="n"/>
    </row>
    <row r="42" outlineLevel="1" collapsed="1" ht="13" customHeight="1">
      <c r="A42" s="43">
        <f>IF(#REF!="","",#REF!)</f>
        <v/>
      </c>
      <c r="B42" s="43">
        <f>IF(#REF!="","",#REF!)</f>
        <v/>
      </c>
      <c r="C42" s="43">
        <f>IF(#REF!="","",#REF!)</f>
        <v/>
      </c>
      <c r="D42" s="44">
        <f>IF(#REF!="","",#REF!)</f>
        <v/>
      </c>
      <c r="E42" s="43">
        <f>IF(#REF!="","",#REF!)</f>
        <v/>
      </c>
      <c r="F42" s="13" t="n"/>
      <c r="G42" s="14" t="n"/>
      <c r="H42" s="14" t="n"/>
      <c r="I42" s="13" t="n"/>
      <c r="J42" s="14" t="n"/>
      <c r="K42" s="14" t="n"/>
      <c r="L42" s="13" t="n"/>
      <c r="M42" s="14" t="n"/>
      <c r="N42" s="38" t="n"/>
      <c r="O42" s="13" t="n"/>
      <c r="P42" s="14" t="n"/>
      <c r="Q42" s="38" t="n"/>
      <c r="R42" s="13" t="n"/>
      <c r="S42" s="14" t="n"/>
      <c r="T42" s="14" t="n"/>
      <c r="U42" s="103" t="n"/>
    </row>
    <row r="43" outlineLevel="1" ht="13" customHeight="1">
      <c r="A43" s="43">
        <f>IF(#REF!="","",#REF!)</f>
        <v/>
      </c>
      <c r="B43" s="43">
        <f>IF(#REF!="","",#REF!)</f>
        <v/>
      </c>
      <c r="C43" s="43">
        <f>IF(#REF!="","",#REF!)</f>
        <v/>
      </c>
      <c r="D43" s="44">
        <f>IF(#REF!="","",#REF!)</f>
        <v/>
      </c>
      <c r="E43" s="43">
        <f>IF(#REF!="","",#REF!)</f>
        <v/>
      </c>
      <c r="F43" s="13" t="n"/>
      <c r="G43" s="14" t="n"/>
      <c r="H43" s="14" t="n"/>
      <c r="I43" s="13" t="n"/>
      <c r="J43" s="14" t="n"/>
      <c r="K43" s="14" t="n"/>
      <c r="L43" s="13" t="n"/>
      <c r="M43" s="14" t="n"/>
      <c r="N43" s="38" t="n"/>
      <c r="O43" s="13" t="n"/>
      <c r="P43" s="14" t="n"/>
      <c r="Q43" s="38" t="n"/>
      <c r="R43" s="13" t="n"/>
      <c r="S43" s="14" t="n"/>
      <c r="T43" s="14" t="n"/>
      <c r="U43" s="103" t="n"/>
    </row>
    <row r="44" outlineLevel="1" ht="13" customHeight="1">
      <c r="A44" s="43">
        <f>IF(#REF!="","",#REF!)</f>
        <v/>
      </c>
      <c r="B44" s="43">
        <f>IF(#REF!="","",#REF!)</f>
        <v/>
      </c>
      <c r="C44" s="43">
        <f>IF(#REF!="","",#REF!)</f>
        <v/>
      </c>
      <c r="D44" s="44">
        <f>IF(#REF!="","",#REF!)</f>
        <v/>
      </c>
      <c r="E44" s="43">
        <f>IF(#REF!="","",#REF!)</f>
        <v/>
      </c>
      <c r="F44" s="13" t="n"/>
      <c r="G44" s="14" t="n"/>
      <c r="H44" s="14" t="n"/>
      <c r="I44" s="13" t="n"/>
      <c r="J44" s="14" t="n"/>
      <c r="K44" s="14" t="n"/>
      <c r="L44" s="13" t="n"/>
      <c r="M44" s="14" t="n"/>
      <c r="N44" s="38" t="n"/>
      <c r="O44" s="13" t="n"/>
      <c r="P44" s="14" t="n"/>
      <c r="Q44" s="38" t="n"/>
      <c r="R44" s="13" t="n"/>
      <c r="S44" s="14" t="n"/>
      <c r="T44" s="14" t="n"/>
      <c r="U44" s="103" t="n"/>
    </row>
    <row r="45" outlineLevel="1" ht="13" customHeight="1">
      <c r="A45" s="43">
        <f>IF(#REF!="","",#REF!)</f>
        <v/>
      </c>
      <c r="B45" s="43">
        <f>IF(#REF!="","",#REF!)</f>
        <v/>
      </c>
      <c r="C45" s="43">
        <f>IF(#REF!="","",#REF!)</f>
        <v/>
      </c>
      <c r="D45" s="44">
        <f>IF(#REF!="","",#REF!)</f>
        <v/>
      </c>
      <c r="E45" s="43">
        <f>IF(#REF!="","",#REF!)</f>
        <v/>
      </c>
      <c r="F45" s="13" t="n"/>
      <c r="G45" s="14" t="n"/>
      <c r="H45" s="14" t="n"/>
      <c r="I45" s="13" t="n"/>
      <c r="J45" s="14" t="n"/>
      <c r="K45" s="14" t="n"/>
      <c r="L45" s="13" t="n"/>
      <c r="M45" s="14" t="n"/>
      <c r="N45" s="38" t="n"/>
      <c r="O45" s="13" t="n"/>
      <c r="P45" s="14" t="n"/>
      <c r="Q45" s="38" t="n"/>
      <c r="R45" s="13" t="n"/>
      <c r="S45" s="14" t="n"/>
      <c r="T45" s="14" t="n"/>
      <c r="U45" s="103" t="n"/>
    </row>
    <row r="46" outlineLevel="1" ht="13" customHeight="1">
      <c r="A46" s="43">
        <f>IF(#REF!="","",#REF!)</f>
        <v/>
      </c>
      <c r="B46" s="43">
        <f>IF(#REF!="","",#REF!)</f>
        <v/>
      </c>
      <c r="C46" s="43">
        <f>IF(#REF!="","",#REF!)</f>
        <v/>
      </c>
      <c r="D46" s="44">
        <f>IF(#REF!="","",#REF!)</f>
        <v/>
      </c>
      <c r="E46" s="43">
        <f>IF(#REF!="","",#REF!)</f>
        <v/>
      </c>
      <c r="F46" s="13" t="n"/>
      <c r="G46" s="14" t="n"/>
      <c r="H46" s="14" t="n"/>
      <c r="I46" s="13" t="n"/>
      <c r="J46" s="14" t="n"/>
      <c r="K46" s="14" t="n"/>
      <c r="L46" s="13" t="n"/>
      <c r="M46" s="14" t="n"/>
      <c r="N46" s="38" t="n"/>
      <c r="O46" s="13" t="n"/>
      <c r="P46" s="14" t="n"/>
      <c r="Q46" s="38" t="n"/>
      <c r="R46" s="13" t="n"/>
      <c r="S46" s="14" t="n"/>
      <c r="T46" s="14" t="n"/>
      <c r="U46" s="103" t="n"/>
    </row>
    <row r="47" outlineLevel="1" ht="13" customHeight="1">
      <c r="A47" s="43">
        <f>IF(#REF!="","",#REF!)</f>
        <v/>
      </c>
      <c r="B47" s="43">
        <f>IF(#REF!="","",#REF!)</f>
        <v/>
      </c>
      <c r="C47" s="43">
        <f>IF(#REF!="","",#REF!)</f>
        <v/>
      </c>
      <c r="D47" s="44">
        <f>IF(#REF!="","",#REF!)</f>
        <v/>
      </c>
      <c r="E47" s="43">
        <f>IF(#REF!="","",#REF!)</f>
        <v/>
      </c>
      <c r="F47" s="13" t="n"/>
      <c r="G47" s="14" t="n"/>
      <c r="H47" s="14" t="n"/>
      <c r="I47" s="13" t="n"/>
      <c r="J47" s="14" t="n"/>
      <c r="K47" s="14" t="n"/>
      <c r="L47" s="13" t="n"/>
      <c r="M47" s="14" t="n"/>
      <c r="N47" s="38" t="n"/>
      <c r="O47" s="13" t="n"/>
      <c r="P47" s="14" t="n"/>
      <c r="Q47" s="38" t="n"/>
      <c r="R47" s="13" t="n"/>
      <c r="S47" s="14" t="n"/>
      <c r="T47" s="14" t="n"/>
      <c r="U47" s="103" t="n"/>
    </row>
    <row r="48" outlineLevel="1" ht="13" customHeight="1">
      <c r="A48" s="43">
        <f>IF(#REF!="","",#REF!)</f>
        <v/>
      </c>
      <c r="B48" s="43">
        <f>IF(#REF!="","",#REF!)</f>
        <v/>
      </c>
      <c r="C48" s="43">
        <f>IF(#REF!="","",#REF!)</f>
        <v/>
      </c>
      <c r="D48" s="44">
        <f>IF(#REF!="","",#REF!)</f>
        <v/>
      </c>
      <c r="E48" s="43">
        <f>IF(#REF!="","",#REF!)</f>
        <v/>
      </c>
      <c r="F48" s="13" t="n"/>
      <c r="G48" s="14" t="n"/>
      <c r="H48" s="14" t="n"/>
      <c r="I48" s="13" t="n"/>
      <c r="J48" s="14" t="n"/>
      <c r="K48" s="14" t="n"/>
      <c r="L48" s="13" t="n"/>
      <c r="M48" s="14" t="n"/>
      <c r="N48" s="38" t="n"/>
      <c r="O48" s="13" t="n"/>
      <c r="P48" s="14" t="n"/>
      <c r="Q48" s="38" t="n"/>
      <c r="R48" s="13" t="n"/>
      <c r="S48" s="14" t="n"/>
      <c r="T48" s="14" t="n"/>
      <c r="U48" s="103" t="n"/>
    </row>
    <row r="49" outlineLevel="1" ht="13" customHeight="1">
      <c r="A49" s="43">
        <f>IF(#REF!="","",#REF!)</f>
        <v/>
      </c>
      <c r="B49" s="43">
        <f>IF(#REF!="","",#REF!)</f>
        <v/>
      </c>
      <c r="C49" s="43">
        <f>IF(#REF!="","",#REF!)</f>
        <v/>
      </c>
      <c r="D49" s="44">
        <f>IF(#REF!="","",#REF!)</f>
        <v/>
      </c>
      <c r="E49" s="43">
        <f>IF(#REF!="","",#REF!)</f>
        <v/>
      </c>
      <c r="F49" s="13" t="n"/>
      <c r="G49" s="14" t="n"/>
      <c r="H49" s="14" t="n"/>
      <c r="I49" s="13" t="n"/>
      <c r="J49" s="14" t="n"/>
      <c r="K49" s="14" t="n"/>
      <c r="L49" s="13" t="n"/>
      <c r="M49" s="14" t="n"/>
      <c r="N49" s="38" t="n"/>
      <c r="O49" s="13" t="n"/>
      <c r="P49" s="14" t="n"/>
      <c r="Q49" s="38" t="n"/>
      <c r="R49" s="13" t="n"/>
      <c r="S49" s="14" t="n"/>
      <c r="T49" s="14" t="n"/>
      <c r="U49" s="103" t="n"/>
    </row>
    <row r="50" outlineLevel="1" ht="13" customHeight="1">
      <c r="A50" s="43">
        <f>IF(#REF!="","",#REF!)</f>
        <v/>
      </c>
      <c r="B50" s="43">
        <f>IF(#REF!="","",#REF!)</f>
        <v/>
      </c>
      <c r="C50" s="43">
        <f>IF(#REF!="","",#REF!)</f>
        <v/>
      </c>
      <c r="D50" s="44">
        <f>IF(#REF!="","",#REF!)</f>
        <v/>
      </c>
      <c r="E50" s="43">
        <f>IF(#REF!="","",#REF!)</f>
        <v/>
      </c>
      <c r="F50" s="13" t="n"/>
      <c r="G50" s="14" t="n"/>
      <c r="H50" s="14" t="n"/>
      <c r="I50" s="13" t="n"/>
      <c r="J50" s="14" t="n"/>
      <c r="K50" s="14" t="n"/>
      <c r="L50" s="13" t="n"/>
      <c r="M50" s="14" t="n"/>
      <c r="N50" s="38" t="n"/>
      <c r="O50" s="13" t="n"/>
      <c r="P50" s="14" t="n"/>
      <c r="Q50" s="38" t="n"/>
      <c r="R50" s="13" t="n"/>
      <c r="S50" s="14" t="n"/>
      <c r="T50" s="14" t="n"/>
      <c r="U50" s="103" t="n"/>
    </row>
    <row r="51" outlineLevel="1" ht="13" customHeight="1">
      <c r="A51" s="43">
        <f>IF(#REF!="","",#REF!)</f>
        <v/>
      </c>
      <c r="B51" s="43">
        <f>IF(#REF!="","",#REF!)</f>
        <v/>
      </c>
      <c r="C51" s="43">
        <f>IF(#REF!="","",#REF!)</f>
        <v/>
      </c>
      <c r="D51" s="44">
        <f>IF(#REF!="","",#REF!)</f>
        <v/>
      </c>
      <c r="E51" s="43">
        <f>IF(#REF!="","",#REF!)</f>
        <v/>
      </c>
      <c r="F51" s="13" t="n"/>
      <c r="G51" s="14" t="n"/>
      <c r="H51" s="14" t="n"/>
      <c r="I51" s="13" t="n"/>
      <c r="J51" s="14" t="n"/>
      <c r="K51" s="14" t="n"/>
      <c r="L51" s="13" t="n"/>
      <c r="M51" s="14" t="n"/>
      <c r="N51" s="38" t="n"/>
      <c r="O51" s="13" t="n"/>
      <c r="P51" s="14" t="n"/>
      <c r="Q51" s="38" t="n"/>
      <c r="R51" s="13" t="n"/>
      <c r="S51" s="14" t="n"/>
      <c r="T51" s="14" t="n"/>
      <c r="U51" s="103" t="n"/>
    </row>
    <row r="52" outlineLevel="1" ht="13" customHeight="1">
      <c r="A52" s="43">
        <f>IF(#REF!="","",#REF!)</f>
        <v/>
      </c>
      <c r="B52" s="43">
        <f>IF(#REF!="","",#REF!)</f>
        <v/>
      </c>
      <c r="C52" s="43">
        <f>IF(#REF!="","",#REF!)</f>
        <v/>
      </c>
      <c r="D52" s="44">
        <f>IF(#REF!="","",#REF!)</f>
        <v/>
      </c>
      <c r="E52" s="43">
        <f>IF(#REF!="","",#REF!)</f>
        <v/>
      </c>
      <c r="F52" s="13" t="n"/>
      <c r="G52" s="14" t="n"/>
      <c r="H52" s="14" t="n"/>
      <c r="I52" s="13" t="n"/>
      <c r="J52" s="14" t="n"/>
      <c r="K52" s="14" t="n"/>
      <c r="L52" s="13" t="n"/>
      <c r="M52" s="14" t="n"/>
      <c r="N52" s="38" t="n"/>
      <c r="O52" s="13" t="n"/>
      <c r="P52" s="14" t="n"/>
      <c r="Q52" s="38" t="n"/>
      <c r="R52" s="13" t="n"/>
      <c r="S52" s="14" t="n"/>
      <c r="T52" s="14" t="n"/>
      <c r="U52" s="103" t="n"/>
    </row>
    <row r="53" outlineLevel="1" ht="13" customHeight="1">
      <c r="A53" s="43">
        <f>IF(#REF!="","",#REF!)</f>
        <v/>
      </c>
      <c r="B53" s="43">
        <f>IF(#REF!="","",#REF!)</f>
        <v/>
      </c>
      <c r="C53" s="43">
        <f>IF(#REF!="","",#REF!)</f>
        <v/>
      </c>
      <c r="D53" s="44">
        <f>IF(#REF!="","",#REF!)</f>
        <v/>
      </c>
      <c r="E53" s="43">
        <f>IF(#REF!="","",#REF!)</f>
        <v/>
      </c>
      <c r="F53" s="13" t="n"/>
      <c r="G53" s="14" t="n"/>
      <c r="H53" s="14" t="n"/>
      <c r="I53" s="13" t="n"/>
      <c r="J53" s="14" t="n"/>
      <c r="K53" s="14" t="n"/>
      <c r="L53" s="13" t="n"/>
      <c r="M53" s="14" t="n"/>
      <c r="N53" s="38" t="n"/>
      <c r="O53" s="13" t="n"/>
      <c r="P53" s="14" t="n"/>
      <c r="Q53" s="38" t="n"/>
      <c r="R53" s="13" t="n"/>
      <c r="S53" s="14" t="n"/>
      <c r="T53" s="14" t="n"/>
      <c r="U53" s="103" t="n"/>
    </row>
    <row r="54" outlineLevel="1" ht="13" customHeight="1">
      <c r="A54" s="43">
        <f>IF(#REF!="","",#REF!)</f>
        <v/>
      </c>
      <c r="B54" s="43">
        <f>IF(#REF!="","",#REF!)</f>
        <v/>
      </c>
      <c r="C54" s="43">
        <f>IF(#REF!="","",#REF!)</f>
        <v/>
      </c>
      <c r="D54" s="44">
        <f>IF(#REF!="","",#REF!)</f>
        <v/>
      </c>
      <c r="E54" s="43">
        <f>IF(#REF!="","",#REF!)</f>
        <v/>
      </c>
      <c r="F54" s="13" t="n"/>
      <c r="G54" s="14" t="n"/>
      <c r="H54" s="14" t="n"/>
      <c r="I54" s="13" t="n"/>
      <c r="J54" s="14" t="n"/>
      <c r="K54" s="14" t="n"/>
      <c r="L54" s="13" t="n"/>
      <c r="M54" s="14" t="n"/>
      <c r="N54" s="38" t="n"/>
      <c r="O54" s="13" t="n"/>
      <c r="P54" s="14" t="n"/>
      <c r="Q54" s="38" t="n"/>
      <c r="R54" s="13" t="n"/>
      <c r="S54" s="14" t="n"/>
      <c r="T54" s="14" t="n"/>
      <c r="U54" s="103" t="n"/>
    </row>
    <row r="55" outlineLevel="1" ht="13" customHeight="1">
      <c r="A55" s="43">
        <f>IF(#REF!="","",#REF!)</f>
        <v/>
      </c>
      <c r="B55" s="43">
        <f>IF(#REF!="","",#REF!)</f>
        <v/>
      </c>
      <c r="C55" s="43">
        <f>IF(#REF!="","",#REF!)</f>
        <v/>
      </c>
      <c r="D55" s="44">
        <f>IF(#REF!="","",#REF!)</f>
        <v/>
      </c>
      <c r="E55" s="43">
        <f>IF(#REF!="","",#REF!)</f>
        <v/>
      </c>
      <c r="F55" s="13" t="n"/>
      <c r="G55" s="14" t="n"/>
      <c r="H55" s="14" t="n"/>
      <c r="I55" s="13" t="n"/>
      <c r="J55" s="14" t="n"/>
      <c r="K55" s="14" t="n"/>
      <c r="L55" s="13" t="n"/>
      <c r="M55" s="14" t="n"/>
      <c r="N55" s="38" t="n"/>
      <c r="O55" s="13" t="n"/>
      <c r="P55" s="14" t="n"/>
      <c r="Q55" s="38" t="n"/>
      <c r="R55" s="13" t="n"/>
      <c r="S55" s="14" t="n"/>
      <c r="T55" s="14" t="n"/>
      <c r="U55" s="103" t="n"/>
    </row>
    <row r="56" outlineLevel="1" ht="13" customHeight="1">
      <c r="A56" s="43">
        <f>IF(#REF!="","",#REF!)</f>
        <v/>
      </c>
      <c r="B56" s="43">
        <f>IF(#REF!="","",#REF!)</f>
        <v/>
      </c>
      <c r="C56" s="43">
        <f>IF(#REF!="","",#REF!)</f>
        <v/>
      </c>
      <c r="D56" s="44">
        <f>IF(#REF!="","",#REF!)</f>
        <v/>
      </c>
      <c r="E56" s="43">
        <f>IF(#REF!="","",#REF!)</f>
        <v/>
      </c>
      <c r="F56" s="13" t="n"/>
      <c r="G56" s="14" t="n"/>
      <c r="H56" s="14" t="n"/>
      <c r="I56" s="13" t="n"/>
      <c r="J56" s="14" t="n"/>
      <c r="K56" s="14" t="n"/>
      <c r="L56" s="13" t="n"/>
      <c r="M56" s="14" t="n"/>
      <c r="N56" s="38" t="n"/>
      <c r="O56" s="13" t="n"/>
      <c r="P56" s="14" t="n"/>
      <c r="Q56" s="38" t="n"/>
      <c r="R56" s="13" t="n"/>
      <c r="S56" s="14" t="n"/>
      <c r="T56" s="14" t="n"/>
      <c r="U56" s="103" t="n"/>
    </row>
    <row r="57" outlineLevel="1" ht="13" customHeight="1">
      <c r="A57" s="43">
        <f>IF(#REF!="","",#REF!)</f>
        <v/>
      </c>
      <c r="B57" s="43">
        <f>IF(#REF!="","",#REF!)</f>
        <v/>
      </c>
      <c r="C57" s="43">
        <f>IF(#REF!="","",#REF!)</f>
        <v/>
      </c>
      <c r="D57" s="44">
        <f>IF(#REF!="","",#REF!)</f>
        <v/>
      </c>
      <c r="E57" s="43">
        <f>IF(#REF!="","",#REF!)</f>
        <v/>
      </c>
      <c r="F57" s="13" t="n"/>
      <c r="G57" s="14" t="n"/>
      <c r="H57" s="14" t="n"/>
      <c r="I57" s="13" t="n"/>
      <c r="J57" s="14" t="n"/>
      <c r="K57" s="14" t="n"/>
      <c r="L57" s="13" t="n"/>
      <c r="M57" s="14" t="n"/>
      <c r="N57" s="38" t="n"/>
      <c r="O57" s="13" t="n"/>
      <c r="P57" s="14" t="n"/>
      <c r="Q57" s="38" t="n"/>
      <c r="R57" s="13" t="n"/>
      <c r="S57" s="14" t="n"/>
      <c r="T57" s="14" t="n"/>
      <c r="U57" s="103" t="n"/>
    </row>
    <row r="58" outlineLevel="1" ht="13" customHeight="1">
      <c r="A58" s="43">
        <f>IF(#REF!="","",#REF!)</f>
        <v/>
      </c>
      <c r="B58" s="43">
        <f>IF(#REF!="","",#REF!)</f>
        <v/>
      </c>
      <c r="C58" s="43">
        <f>IF(#REF!="","",#REF!)</f>
        <v/>
      </c>
      <c r="D58" s="44">
        <f>IF(#REF!="","",#REF!)</f>
        <v/>
      </c>
      <c r="E58" s="43">
        <f>IF(#REF!="","",#REF!)</f>
        <v/>
      </c>
      <c r="F58" s="13" t="n"/>
      <c r="G58" s="14" t="n"/>
      <c r="H58" s="14" t="n"/>
      <c r="I58" s="13" t="n"/>
      <c r="J58" s="14" t="n"/>
      <c r="K58" s="14" t="n"/>
      <c r="L58" s="13" t="n"/>
      <c r="M58" s="14" t="n"/>
      <c r="N58" s="38" t="n"/>
      <c r="O58" s="13" t="n"/>
      <c r="P58" s="14" t="n"/>
      <c r="Q58" s="38" t="n"/>
      <c r="R58" s="13" t="n"/>
      <c r="S58" s="14" t="n"/>
      <c r="T58" s="14" t="n"/>
      <c r="U58" s="103" t="n"/>
    </row>
    <row r="59" outlineLevel="1" ht="13" customHeight="1">
      <c r="A59" s="43">
        <f>IF(#REF!="","",#REF!)</f>
        <v/>
      </c>
      <c r="B59" s="43">
        <f>IF(#REF!="","",#REF!)</f>
        <v/>
      </c>
      <c r="C59" s="43">
        <f>IF(#REF!="","",#REF!)</f>
        <v/>
      </c>
      <c r="D59" s="44">
        <f>IF(#REF!="","",#REF!)</f>
        <v/>
      </c>
      <c r="E59" s="43">
        <f>IF(#REF!="","",#REF!)</f>
        <v/>
      </c>
      <c r="F59" s="13" t="n"/>
      <c r="G59" s="14" t="n"/>
      <c r="H59" s="14" t="n"/>
      <c r="I59" s="13" t="n"/>
      <c r="J59" s="14" t="n"/>
      <c r="K59" s="14" t="n"/>
      <c r="L59" s="13" t="n"/>
      <c r="M59" s="14" t="n"/>
      <c r="N59" s="38" t="n"/>
      <c r="O59" s="13" t="n"/>
      <c r="P59" s="14" t="n"/>
      <c r="Q59" s="38" t="n"/>
      <c r="R59" s="13" t="n"/>
      <c r="S59" s="14" t="n"/>
      <c r="T59" s="14" t="n"/>
      <c r="U59" s="103" t="n"/>
    </row>
    <row r="60" outlineLevel="1" ht="89.25" customHeight="1">
      <c r="A60" s="43">
        <f>IF(#REF!="","",#REF!)</f>
        <v/>
      </c>
      <c r="B60" s="43">
        <f>IF(#REF!="","",#REF!)</f>
        <v/>
      </c>
      <c r="C60" s="43">
        <f>IF(#REF!="","",#REF!)</f>
        <v/>
      </c>
      <c r="D60" s="44">
        <f>IF(#REF!="","",#REF!)</f>
        <v/>
      </c>
      <c r="E60" s="43">
        <f>IF(#REF!="","",#REF!)</f>
        <v/>
      </c>
      <c r="F60" s="13" t="n"/>
      <c r="G60" s="14" t="n"/>
      <c r="H60" s="14" t="n"/>
      <c r="I60" s="13" t="n"/>
      <c r="J60" s="14" t="n"/>
      <c r="K60" s="14" t="n"/>
      <c r="L60" s="13" t="n"/>
      <c r="M60" s="14" t="n"/>
      <c r="N60" s="38" t="n"/>
      <c r="O60" s="13" t="n"/>
      <c r="P60" s="14" t="n"/>
      <c r="Q60" s="38" t="n"/>
      <c r="R60" s="13" t="n"/>
      <c r="S60" s="14" t="n"/>
      <c r="T60" s="14" t="n"/>
      <c r="U60" s="103" t="n"/>
    </row>
    <row r="61" outlineLevel="1" ht="87.75" customHeight="1">
      <c r="A61" s="43">
        <f>IF(#REF!="","",#REF!)</f>
        <v/>
      </c>
      <c r="B61" s="43">
        <f>IF(#REF!="","",#REF!)</f>
        <v/>
      </c>
      <c r="C61" s="43">
        <f>IF(#REF!="","",#REF!)</f>
        <v/>
      </c>
      <c r="D61" s="44">
        <f>IF(#REF!="","",#REF!)</f>
        <v/>
      </c>
      <c r="E61" s="43">
        <f>IF(#REF!="","",#REF!)</f>
        <v/>
      </c>
      <c r="F61" s="13" t="n"/>
      <c r="G61" s="14" t="n"/>
      <c r="H61" s="14" t="n"/>
      <c r="I61" s="13" t="n"/>
      <c r="J61" s="14" t="n"/>
      <c r="K61" s="14" t="n"/>
      <c r="L61" s="13" t="n"/>
      <c r="M61" s="14" t="n"/>
      <c r="N61" s="38" t="n"/>
      <c r="O61" s="13" t="n"/>
      <c r="P61" s="14" t="n"/>
      <c r="Q61" s="38" t="n"/>
      <c r="R61" s="13" t="n"/>
      <c r="S61" s="14" t="n"/>
      <c r="T61" s="14" t="n"/>
      <c r="U61" s="103" t="n"/>
    </row>
    <row r="62" outlineLevel="1" ht="13" customHeight="1">
      <c r="A62" s="43">
        <f>IF(#REF!="","",#REF!)</f>
        <v/>
      </c>
      <c r="B62" s="43">
        <f>IF(#REF!="","",#REF!)</f>
        <v/>
      </c>
      <c r="C62" s="43">
        <f>IF(#REF!="","",#REF!)</f>
        <v/>
      </c>
      <c r="D62" s="44">
        <f>IF(#REF!="","",#REF!)</f>
        <v/>
      </c>
      <c r="E62" s="43">
        <f>IF(#REF!="","",#REF!)</f>
        <v/>
      </c>
      <c r="F62" s="13" t="n"/>
      <c r="G62" s="14" t="n"/>
      <c r="H62" s="14" t="n"/>
      <c r="I62" s="13" t="n"/>
      <c r="J62" s="14" t="n"/>
      <c r="K62" s="14" t="n"/>
      <c r="L62" s="13" t="n"/>
      <c r="M62" s="14" t="n"/>
      <c r="N62" s="38" t="n"/>
      <c r="O62" s="13" t="n"/>
      <c r="P62" s="14" t="n"/>
      <c r="Q62" s="38" t="n"/>
      <c r="R62" s="13" t="n"/>
      <c r="S62" s="14" t="n"/>
      <c r="T62" s="14" t="n"/>
      <c r="U62" s="103" t="n"/>
    </row>
    <row r="63" outlineLevel="1" ht="13" customHeight="1">
      <c r="A63" s="43">
        <f>IF(#REF!="","",#REF!)</f>
        <v/>
      </c>
      <c r="B63" s="43">
        <f>IF(#REF!="","",#REF!)</f>
        <v/>
      </c>
      <c r="C63" s="43">
        <f>IF(#REF!="","",#REF!)</f>
        <v/>
      </c>
      <c r="D63" s="44">
        <f>IF(#REF!="","",#REF!)</f>
        <v/>
      </c>
      <c r="E63" s="43">
        <f>IF(#REF!="","",#REF!)</f>
        <v/>
      </c>
      <c r="F63" s="13" t="n"/>
      <c r="G63" s="14" t="n"/>
      <c r="H63" s="14" t="n"/>
      <c r="I63" s="13" t="n"/>
      <c r="J63" s="14" t="n"/>
      <c r="K63" s="14" t="n"/>
      <c r="L63" s="13" t="n"/>
      <c r="M63" s="14" t="n"/>
      <c r="N63" s="38" t="n"/>
      <c r="O63" s="13" t="n"/>
      <c r="P63" s="14" t="n"/>
      <c r="Q63" s="38" t="n"/>
      <c r="R63" s="13" t="n"/>
      <c r="S63" s="14" t="n"/>
      <c r="T63" s="14" t="n"/>
      <c r="U63" s="103" t="n"/>
    </row>
    <row r="64" outlineLevel="1" ht="13" customHeight="1">
      <c r="A64" s="43">
        <f>IF(#REF!="","",#REF!)</f>
        <v/>
      </c>
      <c r="B64" s="43">
        <f>IF(#REF!="","",#REF!)</f>
        <v/>
      </c>
      <c r="C64" s="43">
        <f>IF(#REF!="","",#REF!)</f>
        <v/>
      </c>
      <c r="D64" s="44">
        <f>IF(#REF!="","",#REF!)</f>
        <v/>
      </c>
      <c r="E64" s="43">
        <f>IF(#REF!="","",#REF!)</f>
        <v/>
      </c>
      <c r="F64" s="13" t="n"/>
      <c r="G64" s="14" t="n"/>
      <c r="H64" s="14" t="n"/>
      <c r="I64" s="13" t="n"/>
      <c r="J64" s="14" t="n"/>
      <c r="K64" s="14" t="n"/>
      <c r="L64" s="13" t="n"/>
      <c r="M64" s="14" t="n"/>
      <c r="N64" s="38" t="n"/>
      <c r="O64" s="13" t="n"/>
      <c r="P64" s="14" t="n"/>
      <c r="Q64" s="38" t="n"/>
      <c r="R64" s="13" t="n"/>
      <c r="S64" s="14" t="n"/>
      <c r="T64" s="14" t="n"/>
      <c r="U64" s="103" t="n"/>
    </row>
    <row r="65" ht="13" customHeight="1">
      <c r="A65" s="43">
        <f>IF(#REF!="","",#REF!)</f>
        <v/>
      </c>
      <c r="B65" s="43">
        <f>IF(#REF!="","",#REF!)</f>
        <v/>
      </c>
      <c r="C65" s="43">
        <f>IF(#REF!="","",#REF!)</f>
        <v/>
      </c>
      <c r="D65" s="44">
        <f>IF(#REF!="","",#REF!)</f>
        <v/>
      </c>
      <c r="E65" s="43">
        <f>IF(#REF!="","",#REF!)</f>
        <v/>
      </c>
      <c r="F65" s="13" t="n"/>
      <c r="G65" s="14" t="n"/>
      <c r="H65" s="14" t="n"/>
      <c r="I65" s="13" t="n"/>
      <c r="J65" s="14" t="n"/>
      <c r="K65" s="14" t="n"/>
      <c r="L65" s="13" t="n"/>
      <c r="M65" s="14" t="n"/>
      <c r="N65" s="38" t="n"/>
      <c r="O65" s="13" t="n"/>
      <c r="P65" s="14" t="n"/>
      <c r="Q65" s="38" t="n"/>
      <c r="R65" s="13" t="n"/>
      <c r="S65" s="14" t="n"/>
      <c r="T65" s="14" t="n"/>
      <c r="U65" s="103" t="n"/>
    </row>
    <row r="66" outlineLevel="1" ht="13" customHeight="1">
      <c r="A66" s="43">
        <f>IF(#REF!="","",#REF!)</f>
        <v/>
      </c>
      <c r="B66" s="43">
        <f>IF(#REF!="","",#REF!)</f>
        <v/>
      </c>
      <c r="C66" s="43">
        <f>IF(#REF!="","",#REF!)</f>
        <v/>
      </c>
      <c r="D66" s="44">
        <f>IF(#REF!="","",#REF!)</f>
        <v/>
      </c>
      <c r="E66" s="43">
        <f>IF(#REF!="","",#REF!)</f>
        <v/>
      </c>
      <c r="F66" s="13" t="n"/>
      <c r="G66" s="14" t="n"/>
      <c r="H66" s="14" t="n"/>
      <c r="I66" s="13" t="n"/>
      <c r="J66" s="14" t="n"/>
      <c r="K66" s="14" t="n"/>
      <c r="L66" s="13" t="n"/>
      <c r="M66" s="14" t="n"/>
      <c r="N66" s="38" t="n"/>
      <c r="O66" s="13" t="n"/>
      <c r="P66" s="14" t="n"/>
      <c r="Q66" s="38" t="n"/>
      <c r="R66" s="13" t="n"/>
      <c r="S66" s="14" t="n"/>
      <c r="T66" s="14" t="n"/>
      <c r="U66" s="103" t="n"/>
    </row>
    <row r="67" outlineLevel="1" ht="13" customHeight="1">
      <c r="A67" s="43">
        <f>IF(#REF!="","",#REF!)</f>
        <v/>
      </c>
      <c r="B67" s="43">
        <f>IF(#REF!="","",#REF!)</f>
        <v/>
      </c>
      <c r="C67" s="43">
        <f>IF(#REF!="","",#REF!)</f>
        <v/>
      </c>
      <c r="D67" s="44">
        <f>IF(#REF!="","",#REF!)</f>
        <v/>
      </c>
      <c r="E67" s="43">
        <f>IF(#REF!="","",#REF!)</f>
        <v/>
      </c>
      <c r="F67" s="13" t="n"/>
      <c r="G67" s="14" t="n"/>
      <c r="H67" s="14" t="n"/>
      <c r="I67" s="13" t="n"/>
      <c r="J67" s="14" t="n"/>
      <c r="K67" s="14" t="n"/>
      <c r="L67" s="13" t="n"/>
      <c r="M67" s="14" t="n"/>
      <c r="N67" s="38" t="n"/>
      <c r="O67" s="13" t="n"/>
      <c r="P67" s="14" t="n"/>
      <c r="Q67" s="38" t="n"/>
      <c r="R67" s="13" t="n"/>
      <c r="S67" s="14" t="n"/>
      <c r="T67" s="14" t="n"/>
      <c r="U67" s="103" t="n"/>
    </row>
    <row r="68" outlineLevel="1" ht="13" customHeight="1">
      <c r="A68" s="43">
        <f>IF(#REF!="","",#REF!)</f>
        <v/>
      </c>
      <c r="B68" s="43">
        <f>IF(#REF!="","",#REF!)</f>
        <v/>
      </c>
      <c r="C68" s="43">
        <f>IF(#REF!="","",#REF!)</f>
        <v/>
      </c>
      <c r="D68" s="44">
        <f>IF(#REF!="","",#REF!)</f>
        <v/>
      </c>
      <c r="E68" s="43">
        <f>IF(#REF!="","",#REF!)</f>
        <v/>
      </c>
      <c r="F68" s="13" t="n"/>
      <c r="G68" s="14" t="n"/>
      <c r="H68" s="14" t="n"/>
      <c r="I68" s="13" t="n"/>
      <c r="J68" s="14" t="n"/>
      <c r="K68" s="14" t="n"/>
      <c r="L68" s="13" t="n"/>
      <c r="M68" s="14" t="n"/>
      <c r="N68" s="38" t="n"/>
      <c r="O68" s="13" t="n"/>
      <c r="P68" s="14" t="n"/>
      <c r="Q68" s="38" t="n"/>
      <c r="R68" s="13" t="n"/>
      <c r="S68" s="14" t="n"/>
      <c r="T68" s="14" t="n"/>
      <c r="U68" s="103" t="n"/>
    </row>
    <row r="69" outlineLevel="1" ht="13" customHeight="1">
      <c r="A69" s="43">
        <f>IF(#REF!="","",#REF!)</f>
        <v/>
      </c>
      <c r="B69" s="43">
        <f>IF(#REF!="","",#REF!)</f>
        <v/>
      </c>
      <c r="C69" s="43">
        <f>IF(#REF!="","",#REF!)</f>
        <v/>
      </c>
      <c r="D69" s="44">
        <f>IF(#REF!="","",#REF!)</f>
        <v/>
      </c>
      <c r="E69" s="43">
        <f>IF(#REF!="","",#REF!)</f>
        <v/>
      </c>
      <c r="F69" s="13" t="n"/>
      <c r="G69" s="14" t="n"/>
      <c r="H69" s="14" t="n"/>
      <c r="I69" s="13" t="n"/>
      <c r="J69" s="14" t="n"/>
      <c r="K69" s="14" t="n"/>
      <c r="L69" s="13" t="n"/>
      <c r="M69" s="14" t="n"/>
      <c r="N69" s="38" t="n"/>
      <c r="O69" s="13" t="n"/>
      <c r="P69" s="14" t="n"/>
      <c r="Q69" s="38" t="n"/>
      <c r="R69" s="13" t="n"/>
      <c r="S69" s="14" t="n"/>
      <c r="T69" s="14" t="n"/>
      <c r="U69" s="103" t="n"/>
    </row>
    <row r="70" outlineLevel="1" ht="13" customHeight="1">
      <c r="A70" s="43">
        <f>IF(#REF!="","",#REF!)</f>
        <v/>
      </c>
      <c r="B70" s="43">
        <f>IF(#REF!="","",#REF!)</f>
        <v/>
      </c>
      <c r="C70" s="43">
        <f>IF(#REF!="","",#REF!)</f>
        <v/>
      </c>
      <c r="D70" s="44">
        <f>IF(#REF!="","",#REF!)</f>
        <v/>
      </c>
      <c r="E70" s="43">
        <f>IF(#REF!="","",#REF!)</f>
        <v/>
      </c>
      <c r="F70" s="13" t="n"/>
      <c r="G70" s="14" t="n"/>
      <c r="H70" s="14" t="n"/>
      <c r="I70" s="13" t="n"/>
      <c r="J70" s="14" t="n"/>
      <c r="K70" s="14" t="n"/>
      <c r="L70" s="13" t="n"/>
      <c r="M70" s="14" t="n"/>
      <c r="N70" s="38" t="n"/>
      <c r="O70" s="13" t="n"/>
      <c r="P70" s="14" t="n"/>
      <c r="Q70" s="38" t="n"/>
      <c r="R70" s="13" t="n"/>
      <c r="S70" s="14" t="n"/>
      <c r="T70" s="14" t="n"/>
      <c r="U70" s="103" t="n"/>
    </row>
    <row r="71" outlineLevel="1" ht="13" customHeight="1">
      <c r="A71" s="43">
        <f>IF(#REF!="","",#REF!)</f>
        <v/>
      </c>
      <c r="B71" s="43">
        <f>IF(#REF!="","",#REF!)</f>
        <v/>
      </c>
      <c r="C71" s="43">
        <f>IF(#REF!="","",#REF!)</f>
        <v/>
      </c>
      <c r="D71" s="44">
        <f>IF(#REF!="","",#REF!)</f>
        <v/>
      </c>
      <c r="E71" s="43">
        <f>IF(#REF!="","",#REF!)</f>
        <v/>
      </c>
      <c r="F71" s="13" t="n"/>
      <c r="G71" s="14" t="n"/>
      <c r="H71" s="14" t="n"/>
      <c r="I71" s="13" t="n"/>
      <c r="J71" s="14" t="n"/>
      <c r="K71" s="14" t="n"/>
      <c r="L71" s="13" t="n"/>
      <c r="M71" s="14" t="n"/>
      <c r="N71" s="38" t="n"/>
      <c r="O71" s="13" t="n"/>
      <c r="P71" s="14" t="n"/>
      <c r="Q71" s="38" t="n"/>
      <c r="R71" s="13" t="n"/>
      <c r="S71" s="14" t="n"/>
      <c r="T71" s="14" t="n"/>
      <c r="U71" s="103" t="n"/>
    </row>
    <row r="72" outlineLevel="1" ht="13" customHeight="1">
      <c r="A72" s="43">
        <f>IF(#REF!="","",#REF!)</f>
        <v/>
      </c>
      <c r="B72" s="43">
        <f>IF(#REF!="","",#REF!)</f>
        <v/>
      </c>
      <c r="C72" s="43">
        <f>IF(#REF!="","",#REF!)</f>
        <v/>
      </c>
      <c r="D72" s="44">
        <f>IF(#REF!="","",#REF!)</f>
        <v/>
      </c>
      <c r="E72" s="43">
        <f>IF(#REF!="","",#REF!)</f>
        <v/>
      </c>
      <c r="F72" s="13" t="n"/>
      <c r="G72" s="14" t="n"/>
      <c r="H72" s="14" t="n"/>
      <c r="I72" s="13" t="n"/>
      <c r="J72" s="14" t="n"/>
      <c r="K72" s="14" t="n"/>
      <c r="L72" s="13" t="n"/>
      <c r="M72" s="14" t="n"/>
      <c r="N72" s="38" t="n"/>
      <c r="O72" s="13" t="n"/>
      <c r="P72" s="14" t="n"/>
      <c r="Q72" s="38" t="n"/>
      <c r="R72" s="13" t="n"/>
      <c r="S72" s="14" t="n"/>
      <c r="T72" s="14" t="n"/>
      <c r="U72" s="103" t="n"/>
    </row>
    <row r="73" outlineLevel="1" ht="13" customHeight="1">
      <c r="A73" s="43">
        <f>IF(#REF!="","",#REF!)</f>
        <v/>
      </c>
      <c r="B73" s="43">
        <f>IF(#REF!="","",#REF!)</f>
        <v/>
      </c>
      <c r="C73" s="43">
        <f>IF(#REF!="","",#REF!)</f>
        <v/>
      </c>
      <c r="D73" s="44">
        <f>IF(#REF!="","",#REF!)</f>
        <v/>
      </c>
      <c r="E73" s="43">
        <f>IF(#REF!="","",#REF!)</f>
        <v/>
      </c>
      <c r="F73" s="13" t="n"/>
      <c r="G73" s="14" t="n"/>
      <c r="H73" s="14" t="n"/>
      <c r="I73" s="13" t="n"/>
      <c r="J73" s="14" t="n"/>
      <c r="K73" s="14" t="n"/>
      <c r="L73" s="13" t="n"/>
      <c r="M73" s="14" t="n"/>
      <c r="N73" s="38" t="n"/>
      <c r="O73" s="13" t="n"/>
      <c r="P73" s="14" t="n"/>
      <c r="Q73" s="38" t="n"/>
      <c r="R73" s="13" t="n"/>
      <c r="S73" s="14" t="n"/>
      <c r="T73" s="14" t="n"/>
      <c r="U73" s="103" t="n"/>
    </row>
    <row r="74" outlineLevel="1" ht="13" customHeight="1">
      <c r="A74" s="43">
        <f>IF(#REF!="","",#REF!)</f>
        <v/>
      </c>
      <c r="B74" s="43">
        <f>IF(#REF!="","",#REF!)</f>
        <v/>
      </c>
      <c r="C74" s="43">
        <f>IF(#REF!="","",#REF!)</f>
        <v/>
      </c>
      <c r="D74" s="44">
        <f>IF(#REF!="","",#REF!)</f>
        <v/>
      </c>
      <c r="E74" s="43">
        <f>IF(#REF!="","",#REF!)</f>
        <v/>
      </c>
      <c r="F74" s="13" t="n"/>
      <c r="G74" s="14" t="n"/>
      <c r="H74" s="14" t="n"/>
      <c r="I74" s="13" t="n"/>
      <c r="J74" s="14" t="n"/>
      <c r="K74" s="14" t="n"/>
      <c r="L74" s="13" t="n"/>
      <c r="M74" s="14" t="n"/>
      <c r="N74" s="38" t="n"/>
      <c r="O74" s="13" t="n"/>
      <c r="P74" s="14" t="n"/>
      <c r="Q74" s="38" t="n"/>
      <c r="R74" s="13" t="n"/>
      <c r="S74" s="14" t="n"/>
      <c r="T74" s="14" t="n"/>
      <c r="U74" s="103" t="n"/>
    </row>
    <row r="75" outlineLevel="1" ht="13" customHeight="1">
      <c r="A75" s="43">
        <f>IF(#REF!="","",#REF!)</f>
        <v/>
      </c>
      <c r="B75" s="43">
        <f>IF(#REF!="","",#REF!)</f>
        <v/>
      </c>
      <c r="C75" s="43">
        <f>IF(#REF!="","",#REF!)</f>
        <v/>
      </c>
      <c r="D75" s="44">
        <f>IF(#REF!="","",#REF!)</f>
        <v/>
      </c>
      <c r="E75" s="43">
        <f>IF(#REF!="","",#REF!)</f>
        <v/>
      </c>
      <c r="F75" s="13" t="n"/>
      <c r="G75" s="14" t="n"/>
      <c r="H75" s="14" t="n"/>
      <c r="I75" s="13" t="n"/>
      <c r="J75" s="14" t="n"/>
      <c r="K75" s="14" t="n"/>
      <c r="L75" s="13" t="n"/>
      <c r="M75" s="14" t="n"/>
      <c r="N75" s="38" t="n"/>
      <c r="O75" s="13" t="n"/>
      <c r="P75" s="14" t="n"/>
      <c r="Q75" s="38" t="n"/>
      <c r="R75" s="13" t="n"/>
      <c r="S75" s="14" t="n"/>
      <c r="T75" s="14" t="n"/>
      <c r="U75" s="103" t="n"/>
    </row>
    <row r="76" outlineLevel="1" ht="13" customHeight="1">
      <c r="A76" s="43">
        <f>IF(#REF!="","",#REF!)</f>
        <v/>
      </c>
      <c r="B76" s="43">
        <f>IF(#REF!="","",#REF!)</f>
        <v/>
      </c>
      <c r="C76" s="43">
        <f>IF(#REF!="","",#REF!)</f>
        <v/>
      </c>
      <c r="D76" s="44">
        <f>IF(#REF!="","",#REF!)</f>
        <v/>
      </c>
      <c r="E76" s="43">
        <f>IF(#REF!="","",#REF!)</f>
        <v/>
      </c>
      <c r="F76" s="13" t="n"/>
      <c r="G76" s="14" t="n"/>
      <c r="H76" s="14" t="n"/>
      <c r="I76" s="13" t="n"/>
      <c r="J76" s="14" t="n"/>
      <c r="K76" s="14" t="n"/>
      <c r="L76" s="13" t="n"/>
      <c r="M76" s="14" t="n"/>
      <c r="N76" s="38" t="n"/>
      <c r="O76" s="13" t="n"/>
      <c r="P76" s="14" t="n"/>
      <c r="Q76" s="38" t="n"/>
      <c r="R76" s="13" t="n"/>
      <c r="S76" s="14" t="n"/>
      <c r="T76" s="14" t="n"/>
      <c r="U76" s="103" t="n"/>
    </row>
    <row r="77" outlineLevel="1" ht="13" customHeight="1">
      <c r="A77" s="43">
        <f>IF(#REF!="","",#REF!)</f>
        <v/>
      </c>
      <c r="B77" s="43">
        <f>IF(#REF!="","",#REF!)</f>
        <v/>
      </c>
      <c r="C77" s="43">
        <f>IF(#REF!="","",#REF!)</f>
        <v/>
      </c>
      <c r="D77" s="44">
        <f>IF(#REF!="","",#REF!)</f>
        <v/>
      </c>
      <c r="E77" s="43">
        <f>IF(#REF!="","",#REF!)</f>
        <v/>
      </c>
      <c r="F77" s="13" t="n"/>
      <c r="G77" s="14" t="n"/>
      <c r="H77" s="14" t="n"/>
      <c r="I77" s="13" t="n"/>
      <c r="J77" s="14" t="n"/>
      <c r="K77" s="14" t="n"/>
      <c r="L77" s="13" t="n"/>
      <c r="M77" s="14" t="n"/>
      <c r="N77" s="38" t="n"/>
      <c r="O77" s="13" t="n"/>
      <c r="P77" s="14" t="n"/>
      <c r="Q77" s="38" t="n"/>
      <c r="R77" s="13" t="n"/>
      <c r="S77" s="14" t="n"/>
      <c r="T77" s="14" t="n"/>
      <c r="U77" s="103" t="n"/>
    </row>
    <row r="78" outlineLevel="1" ht="13" customHeight="1">
      <c r="A78" s="43">
        <f>IF(#REF!="","",#REF!)</f>
        <v/>
      </c>
      <c r="B78" s="43">
        <f>IF(#REF!="","",#REF!)</f>
        <v/>
      </c>
      <c r="C78" s="43">
        <f>IF(#REF!="","",#REF!)</f>
        <v/>
      </c>
      <c r="D78" s="44">
        <f>IF(#REF!="","",#REF!)</f>
        <v/>
      </c>
      <c r="E78" s="43">
        <f>IF(#REF!="","",#REF!)</f>
        <v/>
      </c>
      <c r="F78" s="13" t="n"/>
      <c r="G78" s="14" t="n"/>
      <c r="H78" s="14" t="n"/>
      <c r="I78" s="13" t="n"/>
      <c r="J78" s="14" t="n"/>
      <c r="K78" s="14" t="n"/>
      <c r="L78" s="13" t="n"/>
      <c r="M78" s="14" t="n"/>
      <c r="N78" s="38" t="n"/>
      <c r="O78" s="13" t="n"/>
      <c r="P78" s="14" t="n"/>
      <c r="Q78" s="38" t="n"/>
      <c r="R78" s="13" t="n"/>
      <c r="S78" s="14" t="n"/>
      <c r="T78" s="14" t="n"/>
      <c r="U78" s="103" t="n"/>
    </row>
    <row r="79" outlineLevel="1" ht="13" customHeight="1">
      <c r="A79" s="43">
        <f>IF(#REF!="","",#REF!)</f>
        <v/>
      </c>
      <c r="B79" s="43">
        <f>IF(#REF!="","",#REF!)</f>
        <v/>
      </c>
      <c r="C79" s="43">
        <f>IF(#REF!="","",#REF!)</f>
        <v/>
      </c>
      <c r="D79" s="44">
        <f>IF(#REF!="","",#REF!)</f>
        <v/>
      </c>
      <c r="E79" s="43">
        <f>IF(#REF!="","",#REF!)</f>
        <v/>
      </c>
      <c r="F79" s="13" t="n"/>
      <c r="G79" s="14" t="n"/>
      <c r="H79" s="14" t="n"/>
      <c r="I79" s="13" t="n"/>
      <c r="J79" s="14" t="n"/>
      <c r="K79" s="14" t="n"/>
      <c r="L79" s="13" t="n"/>
      <c r="M79" s="14" t="n"/>
      <c r="N79" s="38" t="n"/>
      <c r="O79" s="13" t="n"/>
      <c r="P79" s="14" t="n"/>
      <c r="Q79" s="38" t="n"/>
      <c r="R79" s="13" t="n"/>
      <c r="S79" s="14" t="n"/>
      <c r="T79" s="14" t="n"/>
      <c r="U79" s="103" t="n"/>
    </row>
    <row r="80" outlineLevel="1" ht="13" customHeight="1">
      <c r="A80" s="43">
        <f>IF(#REF!="","",#REF!)</f>
        <v/>
      </c>
      <c r="B80" s="43">
        <f>IF(#REF!="","",#REF!)</f>
        <v/>
      </c>
      <c r="C80" s="43">
        <f>IF(#REF!="","",#REF!)</f>
        <v/>
      </c>
      <c r="D80" s="44">
        <f>IF(#REF!="","",#REF!)</f>
        <v/>
      </c>
      <c r="E80" s="43">
        <f>IF(#REF!="","",#REF!)</f>
        <v/>
      </c>
      <c r="F80" s="13" t="n"/>
      <c r="G80" s="14" t="n"/>
      <c r="H80" s="14" t="n"/>
      <c r="I80" s="13" t="n"/>
      <c r="J80" s="14" t="n"/>
      <c r="K80" s="14" t="n"/>
      <c r="L80" s="13" t="n"/>
      <c r="M80" s="14" t="n"/>
      <c r="N80" s="38" t="n"/>
      <c r="O80" s="13" t="n"/>
      <c r="P80" s="14" t="n"/>
      <c r="Q80" s="38" t="n"/>
      <c r="R80" s="13" t="n"/>
      <c r="S80" s="14" t="n"/>
      <c r="T80" s="14" t="n"/>
      <c r="U80" s="103" t="n"/>
    </row>
    <row r="81" outlineLevel="1" ht="13" customHeight="1">
      <c r="A81" s="43">
        <f>IF(#REF!="","",#REF!)</f>
        <v/>
      </c>
      <c r="B81" s="43">
        <f>IF(#REF!="","",#REF!)</f>
        <v/>
      </c>
      <c r="C81" s="43">
        <f>IF(#REF!="","",#REF!)</f>
        <v/>
      </c>
      <c r="D81" s="44">
        <f>IF(#REF!="","",#REF!)</f>
        <v/>
      </c>
      <c r="E81" s="43">
        <f>IF(#REF!="","",#REF!)</f>
        <v/>
      </c>
      <c r="F81" s="13" t="n"/>
      <c r="G81" s="14" t="n"/>
      <c r="H81" s="14" t="n"/>
      <c r="I81" s="13" t="n"/>
      <c r="J81" s="14" t="n"/>
      <c r="K81" s="14" t="n"/>
      <c r="L81" s="13" t="n"/>
      <c r="M81" s="14" t="n"/>
      <c r="N81" s="38" t="n"/>
      <c r="O81" s="13" t="n"/>
      <c r="P81" s="14" t="n"/>
      <c r="Q81" s="38" t="n"/>
      <c r="R81" s="13" t="n"/>
      <c r="S81" s="14" t="n"/>
      <c r="T81" s="14" t="n"/>
      <c r="U81" s="103" t="n"/>
    </row>
    <row r="82" outlineLevel="1" ht="13" customHeight="1">
      <c r="A82" s="43">
        <f>IF(#REF!="","",#REF!)</f>
        <v/>
      </c>
      <c r="B82" s="43">
        <f>IF(#REF!="","",#REF!)</f>
        <v/>
      </c>
      <c r="C82" s="43">
        <f>IF(#REF!="","",#REF!)</f>
        <v/>
      </c>
      <c r="D82" s="44">
        <f>IF(#REF!="","",#REF!)</f>
        <v/>
      </c>
      <c r="E82" s="43">
        <f>IF(#REF!="","",#REF!)</f>
        <v/>
      </c>
      <c r="F82" s="13" t="n"/>
      <c r="G82" s="14" t="n"/>
      <c r="H82" s="14" t="n"/>
      <c r="I82" s="13" t="n"/>
      <c r="J82" s="14" t="n"/>
      <c r="K82" s="14" t="n"/>
      <c r="L82" s="13" t="n"/>
      <c r="M82" s="14" t="n"/>
      <c r="N82" s="38" t="n"/>
      <c r="O82" s="13" t="n"/>
      <c r="P82" s="14" t="n"/>
      <c r="Q82" s="38" t="n"/>
      <c r="R82" s="13" t="n"/>
      <c r="S82" s="14" t="n"/>
      <c r="T82" s="14" t="n"/>
      <c r="U82" s="103" t="n"/>
    </row>
    <row r="83" outlineLevel="1" ht="13" customHeight="1">
      <c r="A83" s="43">
        <f>IF(#REF!="","",#REF!)</f>
        <v/>
      </c>
      <c r="B83" s="43">
        <f>IF(#REF!="","",#REF!)</f>
        <v/>
      </c>
      <c r="C83" s="43">
        <f>IF(#REF!="","",#REF!)</f>
        <v/>
      </c>
      <c r="D83" s="44">
        <f>IF(#REF!="","",#REF!)</f>
        <v/>
      </c>
      <c r="E83" s="43">
        <f>IF(#REF!="","",#REF!)</f>
        <v/>
      </c>
      <c r="F83" s="13" t="n"/>
      <c r="G83" s="14" t="n"/>
      <c r="H83" s="14" t="n"/>
      <c r="I83" s="13" t="n"/>
      <c r="J83" s="14" t="n"/>
      <c r="K83" s="14" t="n"/>
      <c r="L83" s="13" t="n"/>
      <c r="M83" s="14" t="n"/>
      <c r="N83" s="38" t="n"/>
      <c r="O83" s="13" t="n"/>
      <c r="P83" s="14" t="n"/>
      <c r="Q83" s="38" t="n"/>
      <c r="R83" s="13" t="n"/>
      <c r="S83" s="14" t="n"/>
      <c r="T83" s="14" t="n"/>
      <c r="U83" s="103" t="n"/>
    </row>
    <row r="84" outlineLevel="1" ht="13" customHeight="1">
      <c r="A84" s="43">
        <f>IF(#REF!="","",#REF!)</f>
        <v/>
      </c>
      <c r="B84" s="43">
        <f>IF(#REF!="","",#REF!)</f>
        <v/>
      </c>
      <c r="C84" s="43">
        <f>IF(#REF!="","",#REF!)</f>
        <v/>
      </c>
      <c r="D84" s="44">
        <f>IF(#REF!="","",#REF!)</f>
        <v/>
      </c>
      <c r="E84" s="43">
        <f>IF(#REF!="","",#REF!)</f>
        <v/>
      </c>
      <c r="F84" s="13" t="n"/>
      <c r="G84" s="14" t="n"/>
      <c r="H84" s="14" t="n"/>
      <c r="I84" s="13" t="n"/>
      <c r="J84" s="14" t="n"/>
      <c r="K84" s="14" t="n"/>
      <c r="L84" s="13" t="n"/>
      <c r="M84" s="14" t="n"/>
      <c r="N84" s="38" t="n"/>
      <c r="O84" s="13" t="n"/>
      <c r="P84" s="14" t="n"/>
      <c r="Q84" s="38" t="n"/>
      <c r="R84" s="13" t="n"/>
      <c r="S84" s="14" t="n"/>
      <c r="T84" s="14" t="n"/>
      <c r="U84" s="103" t="n"/>
    </row>
    <row r="85" outlineLevel="1" ht="13" customHeight="1">
      <c r="A85" s="43">
        <f>IF(#REF!="","",#REF!)</f>
        <v/>
      </c>
      <c r="B85" s="43">
        <f>IF(#REF!="","",#REF!)</f>
        <v/>
      </c>
      <c r="C85" s="43">
        <f>IF(#REF!="","",#REF!)</f>
        <v/>
      </c>
      <c r="D85" s="44">
        <f>IF(#REF!="","",#REF!)</f>
        <v/>
      </c>
      <c r="E85" s="43">
        <f>IF(#REF!="","",#REF!)</f>
        <v/>
      </c>
      <c r="F85" s="13" t="n"/>
      <c r="G85" s="14" t="n"/>
      <c r="H85" s="14" t="n"/>
      <c r="I85" s="13" t="n"/>
      <c r="J85" s="14" t="n"/>
      <c r="K85" s="14" t="n"/>
      <c r="L85" s="13" t="n"/>
      <c r="M85" s="14" t="n"/>
      <c r="N85" s="38" t="n"/>
      <c r="O85" s="13" t="n"/>
      <c r="P85" s="14" t="n"/>
      <c r="Q85" s="38" t="n"/>
      <c r="R85" s="13" t="n"/>
      <c r="S85" s="14" t="n"/>
      <c r="T85" s="14" t="n"/>
      <c r="U85" s="103" t="n"/>
    </row>
    <row r="86" outlineLevel="1" ht="13" customHeight="1">
      <c r="A86" s="43">
        <f>IF(#REF!="","",#REF!)</f>
        <v/>
      </c>
      <c r="B86" s="43">
        <f>IF(#REF!="","",#REF!)</f>
        <v/>
      </c>
      <c r="C86" s="43">
        <f>IF(#REF!="","",#REF!)</f>
        <v/>
      </c>
      <c r="D86" s="44">
        <f>IF(#REF!="","",#REF!)</f>
        <v/>
      </c>
      <c r="E86" s="43">
        <f>IF(#REF!="","",#REF!)</f>
        <v/>
      </c>
      <c r="F86" s="13" t="n"/>
      <c r="G86" s="14" t="n"/>
      <c r="H86" s="14" t="n"/>
      <c r="I86" s="13" t="n"/>
      <c r="J86" s="14" t="n"/>
      <c r="K86" s="14" t="n"/>
      <c r="L86" s="13" t="n"/>
      <c r="M86" s="14" t="n"/>
      <c r="N86" s="38" t="n"/>
      <c r="O86" s="13" t="n"/>
      <c r="P86" s="14" t="n"/>
      <c r="Q86" s="38" t="n"/>
      <c r="R86" s="13" t="n"/>
      <c r="S86" s="14" t="n"/>
      <c r="T86" s="14" t="n"/>
      <c r="U86" s="103" t="n"/>
    </row>
    <row r="87" outlineLevel="1" ht="13" customHeight="1">
      <c r="A87" s="43">
        <f>IF(#REF!="","",#REF!)</f>
        <v/>
      </c>
      <c r="B87" s="43">
        <f>IF(#REF!="","",#REF!)</f>
        <v/>
      </c>
      <c r="C87" s="43">
        <f>IF(#REF!="","",#REF!)</f>
        <v/>
      </c>
      <c r="D87" s="44">
        <f>IF(#REF!="","",#REF!)</f>
        <v/>
      </c>
      <c r="E87" s="43">
        <f>IF(#REF!="","",#REF!)</f>
        <v/>
      </c>
      <c r="F87" s="13" t="n"/>
      <c r="G87" s="14" t="n"/>
      <c r="H87" s="14" t="n"/>
      <c r="I87" s="13" t="n"/>
      <c r="J87" s="14" t="n"/>
      <c r="K87" s="14" t="n"/>
      <c r="L87" s="13" t="n"/>
      <c r="M87" s="14" t="n"/>
      <c r="N87" s="38" t="n"/>
      <c r="O87" s="13" t="n"/>
      <c r="P87" s="14" t="n"/>
      <c r="Q87" s="38" t="n"/>
      <c r="R87" s="13" t="n"/>
      <c r="S87" s="14" t="n"/>
      <c r="T87" s="14" t="n"/>
      <c r="U87" s="103" t="n"/>
    </row>
    <row r="88" outlineLevel="1" ht="13" customHeight="1">
      <c r="A88" s="43">
        <f>IF(#REF!="","",#REF!)</f>
        <v/>
      </c>
      <c r="B88" s="43">
        <f>IF(#REF!="","",#REF!)</f>
        <v/>
      </c>
      <c r="C88" s="43">
        <f>IF(#REF!="","",#REF!)</f>
        <v/>
      </c>
      <c r="D88" s="44">
        <f>IF(#REF!="","",#REF!)</f>
        <v/>
      </c>
      <c r="E88" s="43">
        <f>IF(#REF!="","",#REF!)</f>
        <v/>
      </c>
      <c r="F88" s="13" t="n"/>
      <c r="G88" s="14" t="n"/>
      <c r="H88" s="14" t="n"/>
      <c r="I88" s="13" t="n"/>
      <c r="J88" s="14" t="n"/>
      <c r="K88" s="14" t="n"/>
      <c r="L88" s="13" t="n"/>
      <c r="M88" s="14" t="n"/>
      <c r="N88" s="38" t="n"/>
      <c r="O88" s="13" t="n"/>
      <c r="P88" s="14" t="n"/>
      <c r="Q88" s="38" t="n"/>
      <c r="R88" s="13" t="n"/>
      <c r="S88" s="14" t="n"/>
      <c r="T88" s="14" t="n"/>
      <c r="U88" s="103" t="n"/>
    </row>
    <row r="89" outlineLevel="1" ht="13" customHeight="1">
      <c r="A89" s="43">
        <f>IF(#REF!="","",#REF!)</f>
        <v/>
      </c>
      <c r="B89" s="43">
        <f>IF(#REF!="","",#REF!)</f>
        <v/>
      </c>
      <c r="C89" s="43">
        <f>IF(#REF!="","",#REF!)</f>
        <v/>
      </c>
      <c r="D89" s="44">
        <f>IF(#REF!="","",#REF!)</f>
        <v/>
      </c>
      <c r="E89" s="43">
        <f>IF(#REF!="","",#REF!)</f>
        <v/>
      </c>
      <c r="F89" s="13" t="n"/>
      <c r="G89" s="14" t="n"/>
      <c r="H89" s="14" t="n"/>
      <c r="I89" s="13" t="n"/>
      <c r="J89" s="14" t="n"/>
      <c r="K89" s="14" t="n"/>
      <c r="L89" s="13" t="n"/>
      <c r="M89" s="14" t="n"/>
      <c r="N89" s="38" t="n"/>
      <c r="O89" s="13" t="n"/>
      <c r="P89" s="14" t="n"/>
      <c r="Q89" s="38" t="n"/>
      <c r="R89" s="13" t="n"/>
      <c r="S89" s="14" t="n"/>
      <c r="T89" s="14" t="n"/>
      <c r="U89" s="103" t="n"/>
    </row>
    <row r="90" collapsed="1" ht="13" customHeight="1">
      <c r="A90" s="43">
        <f>IF(#REF!="","",#REF!)</f>
        <v/>
      </c>
      <c r="B90" s="43">
        <f>IF(#REF!="","",#REF!)</f>
        <v/>
      </c>
      <c r="C90" s="43">
        <f>IF(#REF!="","",#REF!)</f>
        <v/>
      </c>
      <c r="D90" s="44">
        <f>IF(#REF!="","",#REF!)</f>
        <v/>
      </c>
      <c r="E90" s="43">
        <f>IF(#REF!="","",#REF!)</f>
        <v/>
      </c>
      <c r="F90" s="13" t="n"/>
      <c r="G90" s="14" t="n"/>
      <c r="H90" s="14" t="n"/>
      <c r="I90" s="13" t="n"/>
      <c r="J90" s="14" t="n"/>
      <c r="K90" s="14" t="n"/>
      <c r="L90" s="13" t="n"/>
      <c r="M90" s="14" t="n"/>
      <c r="N90" s="38" t="n"/>
      <c r="O90" s="13" t="n"/>
      <c r="P90" s="14" t="n"/>
      <c r="Q90" s="38" t="n"/>
      <c r="R90" s="13" t="n"/>
      <c r="S90" s="14" t="n"/>
      <c r="T90" s="14" t="n"/>
      <c r="U90" s="103" t="n"/>
    </row>
    <row r="91" outlineLevel="1" ht="13" customHeight="1">
      <c r="A91" s="43">
        <f>IF(#REF!="","",#REF!)</f>
        <v/>
      </c>
      <c r="B91" s="43">
        <f>IF(#REF!="","",#REF!)</f>
        <v/>
      </c>
      <c r="C91" s="43">
        <f>IF(#REF!="","",#REF!)</f>
        <v/>
      </c>
      <c r="D91" s="44">
        <f>IF(#REF!="","",#REF!)</f>
        <v/>
      </c>
      <c r="E91" s="43">
        <f>IF(#REF!="","",#REF!)</f>
        <v/>
      </c>
      <c r="F91" s="13" t="n"/>
      <c r="G91" s="14" t="n"/>
      <c r="H91" s="14" t="n"/>
      <c r="I91" s="13" t="n"/>
      <c r="J91" s="14" t="n"/>
      <c r="K91" s="14" t="n"/>
      <c r="L91" s="13" t="n"/>
      <c r="M91" s="14" t="n"/>
      <c r="N91" s="38" t="n"/>
      <c r="O91" s="13" t="n"/>
      <c r="P91" s="14" t="n"/>
      <c r="Q91" s="38" t="n"/>
      <c r="R91" s="13" t="n"/>
      <c r="S91" s="14" t="n"/>
      <c r="T91" s="14" t="n"/>
      <c r="U91" s="103" t="n"/>
    </row>
    <row r="92" outlineLevel="1" ht="13" customHeight="1">
      <c r="A92" s="43">
        <f>IF(#REF!="","",#REF!)</f>
        <v/>
      </c>
      <c r="B92" s="43">
        <f>IF(#REF!="","",#REF!)</f>
        <v/>
      </c>
      <c r="C92" s="43">
        <f>IF(#REF!="","",#REF!)</f>
        <v/>
      </c>
      <c r="D92" s="44">
        <f>IF(#REF!="","",#REF!)</f>
        <v/>
      </c>
      <c r="E92" s="43">
        <f>IF(#REF!="","",#REF!)</f>
        <v/>
      </c>
      <c r="F92" s="13" t="n"/>
      <c r="G92" s="14" t="n"/>
      <c r="H92" s="14" t="n"/>
      <c r="I92" s="13" t="n"/>
      <c r="J92" s="14" t="n"/>
      <c r="K92" s="14" t="n"/>
      <c r="L92" s="13" t="n"/>
      <c r="M92" s="14" t="n"/>
      <c r="N92" s="38" t="n"/>
      <c r="O92" s="13" t="n"/>
      <c r="P92" s="14" t="n"/>
      <c r="Q92" s="38" t="n"/>
      <c r="R92" s="13" t="n"/>
      <c r="S92" s="14" t="n"/>
      <c r="T92" s="14" t="n"/>
      <c r="U92" s="103" t="n"/>
    </row>
    <row r="93" outlineLevel="1" ht="13" customHeight="1">
      <c r="A93" s="43">
        <f>IF(#REF!="","",#REF!)</f>
        <v/>
      </c>
      <c r="B93" s="43">
        <f>IF(#REF!="","",#REF!)</f>
        <v/>
      </c>
      <c r="C93" s="43">
        <f>IF(#REF!="","",#REF!)</f>
        <v/>
      </c>
      <c r="D93" s="44">
        <f>IF(#REF!="","",#REF!)</f>
        <v/>
      </c>
      <c r="E93" s="43">
        <f>IF(#REF!="","",#REF!)</f>
        <v/>
      </c>
      <c r="F93" s="13" t="n"/>
      <c r="G93" s="14" t="n"/>
      <c r="H93" s="14" t="n"/>
      <c r="I93" s="13" t="n"/>
      <c r="J93" s="14" t="n"/>
      <c r="K93" s="14" t="n"/>
      <c r="L93" s="13" t="n"/>
      <c r="M93" s="14" t="n"/>
      <c r="N93" s="38" t="n"/>
      <c r="O93" s="13" t="n"/>
      <c r="P93" s="14" t="n"/>
      <c r="Q93" s="38" t="n"/>
      <c r="R93" s="13" t="n"/>
      <c r="S93" s="14" t="n"/>
      <c r="T93" s="14" t="n"/>
      <c r="U93" s="103" t="n"/>
    </row>
    <row r="94" outlineLevel="1" ht="13" customHeight="1">
      <c r="A94" s="43">
        <f>IF(#REF!="","",#REF!)</f>
        <v/>
      </c>
      <c r="B94" s="43">
        <f>IF(#REF!="","",#REF!)</f>
        <v/>
      </c>
      <c r="C94" s="43">
        <f>IF(#REF!="","",#REF!)</f>
        <v/>
      </c>
      <c r="D94" s="44">
        <f>IF(#REF!="","",#REF!)</f>
        <v/>
      </c>
      <c r="E94" s="43">
        <f>IF(#REF!="","",#REF!)</f>
        <v/>
      </c>
      <c r="F94" s="13" t="n"/>
      <c r="G94" s="14" t="n"/>
      <c r="H94" s="14" t="n"/>
      <c r="I94" s="13" t="n"/>
      <c r="J94" s="14" t="n"/>
      <c r="K94" s="14" t="n"/>
      <c r="L94" s="13" t="n"/>
      <c r="M94" s="14" t="n"/>
      <c r="N94" s="38" t="n"/>
      <c r="O94" s="13" t="n"/>
      <c r="P94" s="14" t="n"/>
      <c r="Q94" s="38" t="n"/>
      <c r="R94" s="13" t="n"/>
      <c r="S94" s="14" t="n"/>
      <c r="T94" s="14" t="n"/>
      <c r="U94" s="103" t="n"/>
    </row>
    <row r="95" outlineLevel="1" ht="13" customHeight="1">
      <c r="A95" s="43">
        <f>IF(#REF!="","",#REF!)</f>
        <v/>
      </c>
      <c r="B95" s="43">
        <f>IF(#REF!="","",#REF!)</f>
        <v/>
      </c>
      <c r="C95" s="43">
        <f>IF(#REF!="","",#REF!)</f>
        <v/>
      </c>
      <c r="D95" s="44">
        <f>IF(#REF!="","",#REF!)</f>
        <v/>
      </c>
      <c r="E95" s="43">
        <f>IF(#REF!="","",#REF!)</f>
        <v/>
      </c>
      <c r="F95" s="13" t="n"/>
      <c r="G95" s="14" t="n"/>
      <c r="H95" s="14" t="n"/>
      <c r="I95" s="13" t="n"/>
      <c r="J95" s="14" t="n"/>
      <c r="K95" s="14" t="n"/>
      <c r="L95" s="13" t="n"/>
      <c r="M95" s="14" t="n"/>
      <c r="N95" s="38" t="n"/>
      <c r="O95" s="13" t="n"/>
      <c r="P95" s="14" t="n"/>
      <c r="Q95" s="38" t="n"/>
      <c r="R95" s="13" t="n"/>
      <c r="S95" s="14" t="n"/>
      <c r="T95" s="14" t="n"/>
      <c r="U95" s="103" t="n"/>
    </row>
    <row r="96" outlineLevel="1" ht="13" customHeight="1">
      <c r="A96" s="43">
        <f>IF(#REF!="","",#REF!)</f>
        <v/>
      </c>
      <c r="B96" s="43">
        <f>IF(#REF!="","",#REF!)</f>
        <v/>
      </c>
      <c r="C96" s="43">
        <f>IF(#REF!="","",#REF!)</f>
        <v/>
      </c>
      <c r="D96" s="44">
        <f>IF(#REF!="","",#REF!)</f>
        <v/>
      </c>
      <c r="E96" s="43">
        <f>IF(#REF!="","",#REF!)</f>
        <v/>
      </c>
      <c r="F96" s="13" t="n"/>
      <c r="G96" s="14" t="n"/>
      <c r="H96" s="14" t="n"/>
      <c r="I96" s="13" t="n"/>
      <c r="J96" s="14" t="n"/>
      <c r="K96" s="14" t="n"/>
      <c r="L96" s="13" t="n"/>
      <c r="M96" s="14" t="n"/>
      <c r="N96" s="38" t="n"/>
      <c r="O96" s="13" t="n"/>
      <c r="P96" s="14" t="n"/>
      <c r="Q96" s="38" t="n"/>
      <c r="R96" s="13" t="n"/>
      <c r="S96" s="14" t="n"/>
      <c r="T96" s="14" t="n"/>
      <c r="U96" s="103" t="n"/>
    </row>
    <row r="97" outlineLevel="1" ht="13" customHeight="1">
      <c r="A97" s="43">
        <f>IF(#REF!="","",#REF!)</f>
        <v/>
      </c>
      <c r="B97" s="43">
        <f>IF(#REF!="","",#REF!)</f>
        <v/>
      </c>
      <c r="C97" s="43">
        <f>IF(#REF!="","",#REF!)</f>
        <v/>
      </c>
      <c r="D97" s="44">
        <f>IF(#REF!="","",#REF!)</f>
        <v/>
      </c>
      <c r="E97" s="43">
        <f>IF(#REF!="","",#REF!)</f>
        <v/>
      </c>
      <c r="F97" s="13" t="n"/>
      <c r="G97" s="14" t="n"/>
      <c r="H97" s="14" t="n"/>
      <c r="I97" s="13" t="n"/>
      <c r="J97" s="14" t="n"/>
      <c r="K97" s="14" t="n"/>
      <c r="L97" s="13" t="n"/>
      <c r="M97" s="14" t="n"/>
      <c r="N97" s="38" t="n"/>
      <c r="O97" s="13" t="n"/>
      <c r="P97" s="14" t="n"/>
      <c r="Q97" s="38" t="n"/>
      <c r="R97" s="13" t="n"/>
      <c r="S97" s="14" t="n"/>
      <c r="T97" s="14" t="n"/>
      <c r="U97" s="103" t="n"/>
    </row>
    <row r="98" outlineLevel="1" ht="13" customHeight="1">
      <c r="A98" s="43">
        <f>IF(#REF!="","",#REF!)</f>
        <v/>
      </c>
      <c r="B98" s="43">
        <f>IF(#REF!="","",#REF!)</f>
        <v/>
      </c>
      <c r="C98" s="43">
        <f>IF(#REF!="","",#REF!)</f>
        <v/>
      </c>
      <c r="D98" s="44">
        <f>IF(#REF!="","",#REF!)</f>
        <v/>
      </c>
      <c r="E98" s="43">
        <f>IF(#REF!="","",#REF!)</f>
        <v/>
      </c>
      <c r="F98" s="13" t="n"/>
      <c r="G98" s="14" t="n"/>
      <c r="H98" s="14" t="n"/>
      <c r="I98" s="13" t="n"/>
      <c r="J98" s="14" t="n"/>
      <c r="K98" s="14" t="n"/>
      <c r="L98" s="13" t="n"/>
      <c r="M98" s="14" t="n"/>
      <c r="N98" s="38" t="n"/>
      <c r="O98" s="13" t="n"/>
      <c r="P98" s="14" t="n"/>
      <c r="Q98" s="38" t="n"/>
      <c r="R98" s="13" t="n"/>
      <c r="S98" s="14" t="n"/>
      <c r="T98" s="14" t="n"/>
      <c r="U98" s="103" t="n"/>
    </row>
    <row r="99" outlineLevel="1" ht="13" customHeight="1">
      <c r="A99" s="43">
        <f>IF(#REF!="","",#REF!)</f>
        <v/>
      </c>
      <c r="B99" s="43">
        <f>IF(#REF!="","",#REF!)</f>
        <v/>
      </c>
      <c r="C99" s="43">
        <f>IF(#REF!="","",#REF!)</f>
        <v/>
      </c>
      <c r="D99" s="44">
        <f>IF(#REF!="","",#REF!)</f>
        <v/>
      </c>
      <c r="E99" s="43">
        <f>IF(#REF!="","",#REF!)</f>
        <v/>
      </c>
      <c r="F99" s="13" t="n"/>
      <c r="G99" s="14" t="n"/>
      <c r="H99" s="14" t="n"/>
      <c r="I99" s="13" t="n"/>
      <c r="J99" s="14" t="n"/>
      <c r="K99" s="14" t="n"/>
      <c r="L99" s="13" t="n"/>
      <c r="M99" s="14" t="n"/>
      <c r="N99" s="38" t="n"/>
      <c r="O99" s="13" t="n"/>
      <c r="P99" s="14" t="n"/>
      <c r="Q99" s="38" t="n"/>
      <c r="R99" s="13" t="n"/>
      <c r="S99" s="14" t="n"/>
      <c r="T99" s="14" t="n"/>
      <c r="U99" s="103" t="n"/>
    </row>
    <row r="100" outlineLevel="1" ht="13" customHeight="1">
      <c r="A100" s="43">
        <f>IF(#REF!="","",#REF!)</f>
        <v/>
      </c>
      <c r="B100" s="43">
        <f>IF(#REF!="","",#REF!)</f>
        <v/>
      </c>
      <c r="C100" s="43">
        <f>IF(#REF!="","",#REF!)</f>
        <v/>
      </c>
      <c r="D100" s="44">
        <f>IF(#REF!="","",#REF!)</f>
        <v/>
      </c>
      <c r="E100" s="43">
        <f>IF(#REF!="","",#REF!)</f>
        <v/>
      </c>
      <c r="F100" s="13" t="n"/>
      <c r="G100" s="14" t="n"/>
      <c r="H100" s="14" t="n"/>
      <c r="I100" s="13" t="n"/>
      <c r="J100" s="14" t="n"/>
      <c r="K100" s="14" t="n"/>
      <c r="L100" s="13" t="n"/>
      <c r="M100" s="14" t="n"/>
      <c r="N100" s="38" t="n"/>
      <c r="O100" s="13" t="n"/>
      <c r="P100" s="14" t="n"/>
      <c r="Q100" s="38" t="n"/>
      <c r="R100" s="13" t="n"/>
      <c r="S100" s="14" t="n"/>
      <c r="T100" s="14" t="n"/>
      <c r="U100" s="103" t="n"/>
    </row>
    <row r="101" outlineLevel="1" ht="13" customHeight="1">
      <c r="A101" s="43">
        <f>IF(#REF!="","",#REF!)</f>
        <v/>
      </c>
      <c r="B101" s="43">
        <f>IF(#REF!="","",#REF!)</f>
        <v/>
      </c>
      <c r="C101" s="43">
        <f>IF(#REF!="","",#REF!)</f>
        <v/>
      </c>
      <c r="D101" s="44">
        <f>IF(#REF!="","",#REF!)</f>
        <v/>
      </c>
      <c r="E101" s="43">
        <f>IF(#REF!="","",#REF!)</f>
        <v/>
      </c>
      <c r="F101" s="13" t="n"/>
      <c r="G101" s="14" t="n"/>
      <c r="H101" s="14" t="n"/>
      <c r="I101" s="13" t="n"/>
      <c r="J101" s="14" t="n"/>
      <c r="K101" s="14" t="n"/>
      <c r="L101" s="13" t="n"/>
      <c r="M101" s="14" t="n"/>
      <c r="N101" s="38" t="n"/>
      <c r="O101" s="13" t="n"/>
      <c r="P101" s="14" t="n"/>
      <c r="Q101" s="38" t="n"/>
      <c r="R101" s="13" t="n"/>
      <c r="S101" s="14" t="n"/>
      <c r="T101" s="14" t="n"/>
      <c r="U101" s="103" t="n"/>
    </row>
    <row r="102" outlineLevel="1" ht="13" customHeight="1">
      <c r="A102" s="43">
        <f>IF(#REF!="","",#REF!)</f>
        <v/>
      </c>
      <c r="B102" s="43">
        <f>IF(#REF!="","",#REF!)</f>
        <v/>
      </c>
      <c r="C102" s="43">
        <f>IF(#REF!="","",#REF!)</f>
        <v/>
      </c>
      <c r="D102" s="44">
        <f>IF(#REF!="","",#REF!)</f>
        <v/>
      </c>
      <c r="E102" s="43">
        <f>IF(#REF!="","",#REF!)</f>
        <v/>
      </c>
      <c r="F102" s="13" t="n"/>
      <c r="G102" s="14" t="n"/>
      <c r="H102" s="14" t="n"/>
      <c r="I102" s="13" t="n"/>
      <c r="J102" s="14" t="n"/>
      <c r="K102" s="14" t="n"/>
      <c r="L102" s="13" t="n"/>
      <c r="M102" s="14" t="n"/>
      <c r="N102" s="38" t="n"/>
      <c r="O102" s="13" t="n"/>
      <c r="P102" s="14" t="n"/>
      <c r="Q102" s="38" t="n"/>
      <c r="R102" s="13" t="n"/>
      <c r="S102" s="14" t="n"/>
      <c r="T102" s="14" t="n"/>
      <c r="U102" s="103" t="n"/>
    </row>
    <row r="103" outlineLevel="1" ht="13" customHeight="1">
      <c r="A103" s="43">
        <f>IF(#REF!="","",#REF!)</f>
        <v/>
      </c>
      <c r="B103" s="43">
        <f>IF(#REF!="","",#REF!)</f>
        <v/>
      </c>
      <c r="C103" s="43">
        <f>IF(#REF!="","",#REF!)</f>
        <v/>
      </c>
      <c r="D103" s="44">
        <f>IF(#REF!="","",#REF!)</f>
        <v/>
      </c>
      <c r="E103" s="43">
        <f>IF(#REF!="","",#REF!)</f>
        <v/>
      </c>
      <c r="F103" s="13" t="n"/>
      <c r="G103" s="14" t="n"/>
      <c r="H103" s="14" t="n"/>
      <c r="I103" s="13" t="n"/>
      <c r="J103" s="14" t="n"/>
      <c r="K103" s="14" t="n"/>
      <c r="L103" s="13" t="n"/>
      <c r="M103" s="14" t="n"/>
      <c r="N103" s="38" t="n"/>
      <c r="O103" s="13" t="n"/>
      <c r="P103" s="14" t="n"/>
      <c r="Q103" s="38" t="n"/>
      <c r="R103" s="13" t="n"/>
      <c r="S103" s="14" t="n"/>
      <c r="T103" s="14" t="n"/>
      <c r="U103" s="103" t="n"/>
    </row>
    <row r="104" outlineLevel="1" ht="13" customHeight="1">
      <c r="A104" s="43">
        <f>IF(#REF!="","",#REF!)</f>
        <v/>
      </c>
      <c r="B104" s="43">
        <f>IF(#REF!="","",#REF!)</f>
        <v/>
      </c>
      <c r="C104" s="43">
        <f>IF(#REF!="","",#REF!)</f>
        <v/>
      </c>
      <c r="D104" s="44">
        <f>IF(#REF!="","",#REF!)</f>
        <v/>
      </c>
      <c r="E104" s="43">
        <f>IF(#REF!="","",#REF!)</f>
        <v/>
      </c>
      <c r="F104" s="13" t="n"/>
      <c r="G104" s="14" t="n"/>
      <c r="H104" s="14" t="n"/>
      <c r="I104" s="13" t="n"/>
      <c r="J104" s="14" t="n"/>
      <c r="K104" s="14" t="n"/>
      <c r="L104" s="13" t="n"/>
      <c r="M104" s="14" t="n"/>
      <c r="N104" s="38" t="n"/>
      <c r="O104" s="13" t="n"/>
      <c r="P104" s="14" t="n"/>
      <c r="Q104" s="38" t="n"/>
      <c r="R104" s="13" t="n"/>
      <c r="S104" s="14" t="n"/>
      <c r="T104" s="14" t="n"/>
      <c r="U104" s="103" t="n"/>
    </row>
    <row r="105" outlineLevel="1" ht="13" customHeight="1">
      <c r="A105" s="43">
        <f>IF(#REF!="","",#REF!)</f>
        <v/>
      </c>
      <c r="B105" s="43">
        <f>IF(#REF!="","",#REF!)</f>
        <v/>
      </c>
      <c r="C105" s="43">
        <f>IF(#REF!="","",#REF!)</f>
        <v/>
      </c>
      <c r="D105" s="44">
        <f>IF(#REF!="","",#REF!)</f>
        <v/>
      </c>
      <c r="E105" s="43">
        <f>IF(#REF!="","",#REF!)</f>
        <v/>
      </c>
      <c r="F105" s="13" t="n"/>
      <c r="G105" s="14" t="n"/>
      <c r="H105" s="14" t="n"/>
      <c r="I105" s="13" t="n"/>
      <c r="J105" s="14" t="n"/>
      <c r="K105" s="14" t="n"/>
      <c r="L105" s="13" t="n"/>
      <c r="M105" s="14" t="n"/>
      <c r="N105" s="38" t="n"/>
      <c r="O105" s="13" t="n"/>
      <c r="P105" s="14" t="n"/>
      <c r="Q105" s="38" t="n"/>
      <c r="R105" s="13" t="n"/>
      <c r="S105" s="14" t="n"/>
      <c r="T105" s="14" t="n"/>
      <c r="U105" s="103" t="n"/>
    </row>
    <row r="106" outlineLevel="1" ht="13" customHeight="1">
      <c r="A106" s="43">
        <f>IF(#REF!="","",#REF!)</f>
        <v/>
      </c>
      <c r="B106" s="43">
        <f>IF(#REF!="","",#REF!)</f>
        <v/>
      </c>
      <c r="C106" s="43">
        <f>IF(#REF!="","",#REF!)</f>
        <v/>
      </c>
      <c r="D106" s="44">
        <f>IF(#REF!="","",#REF!)</f>
        <v/>
      </c>
      <c r="E106" s="43">
        <f>IF(#REF!="","",#REF!)</f>
        <v/>
      </c>
      <c r="F106" s="13" t="n"/>
      <c r="G106" s="14" t="n"/>
      <c r="H106" s="14" t="n"/>
      <c r="I106" s="13" t="n"/>
      <c r="J106" s="14" t="n"/>
      <c r="K106" s="14" t="n"/>
      <c r="L106" s="13" t="n"/>
      <c r="M106" s="14" t="n"/>
      <c r="N106" s="38" t="n"/>
      <c r="O106" s="13" t="n"/>
      <c r="P106" s="14" t="n"/>
      <c r="Q106" s="38" t="n"/>
      <c r="R106" s="13" t="n"/>
      <c r="S106" s="14" t="n"/>
      <c r="T106" s="14" t="n"/>
      <c r="U106" s="103" t="n"/>
    </row>
    <row r="107" outlineLevel="1" ht="13" customHeight="1">
      <c r="A107" s="43">
        <f>IF(#REF!="","",#REF!)</f>
        <v/>
      </c>
      <c r="B107" s="43">
        <f>IF(#REF!="","",#REF!)</f>
        <v/>
      </c>
      <c r="C107" s="43">
        <f>IF(#REF!="","",#REF!)</f>
        <v/>
      </c>
      <c r="D107" s="44">
        <f>IF(#REF!="","",#REF!)</f>
        <v/>
      </c>
      <c r="E107" s="43">
        <f>IF(#REF!="","",#REF!)</f>
        <v/>
      </c>
      <c r="F107" s="13" t="n"/>
      <c r="G107" s="14" t="n"/>
      <c r="H107" s="14" t="n"/>
      <c r="I107" s="13" t="n"/>
      <c r="J107" s="14" t="n"/>
      <c r="K107" s="14" t="n"/>
      <c r="L107" s="13" t="n"/>
      <c r="M107" s="14" t="n"/>
      <c r="N107" s="38" t="n"/>
      <c r="O107" s="13" t="n"/>
      <c r="P107" s="14" t="n"/>
      <c r="Q107" s="38" t="n"/>
      <c r="R107" s="13" t="n"/>
      <c r="S107" s="14" t="n"/>
      <c r="T107" s="14" t="n"/>
      <c r="U107" s="103" t="n"/>
    </row>
    <row r="108" outlineLevel="1" ht="13" customHeight="1">
      <c r="A108" s="43">
        <f>IF(#REF!="","",#REF!)</f>
        <v/>
      </c>
      <c r="B108" s="43">
        <f>IF(#REF!="","",#REF!)</f>
        <v/>
      </c>
      <c r="C108" s="43">
        <f>IF(#REF!="","",#REF!)</f>
        <v/>
      </c>
      <c r="D108" s="44">
        <f>IF(#REF!="","",#REF!)</f>
        <v/>
      </c>
      <c r="E108" s="43">
        <f>IF(#REF!="","",#REF!)</f>
        <v/>
      </c>
      <c r="F108" s="13" t="n"/>
      <c r="G108" s="14" t="n"/>
      <c r="H108" s="14" t="n"/>
      <c r="I108" s="13" t="n"/>
      <c r="J108" s="14" t="n"/>
      <c r="K108" s="14" t="n"/>
      <c r="L108" s="13" t="n"/>
      <c r="M108" s="14" t="n"/>
      <c r="N108" s="38" t="n"/>
      <c r="O108" s="13" t="n"/>
      <c r="P108" s="14" t="n"/>
      <c r="Q108" s="38" t="n"/>
      <c r="R108" s="13" t="n"/>
      <c r="S108" s="14" t="n"/>
      <c r="T108" s="14" t="n"/>
      <c r="U108" s="103" t="n"/>
    </row>
    <row r="109" outlineLevel="1" ht="13" customHeight="1">
      <c r="A109" s="43">
        <f>IF(#REF!="","",#REF!)</f>
        <v/>
      </c>
      <c r="B109" s="43">
        <f>IF(#REF!="","",#REF!)</f>
        <v/>
      </c>
      <c r="C109" s="43">
        <f>IF(#REF!="","",#REF!)</f>
        <v/>
      </c>
      <c r="D109" s="44">
        <f>IF(#REF!="","",#REF!)</f>
        <v/>
      </c>
      <c r="E109" s="43">
        <f>IF(#REF!="","",#REF!)</f>
        <v/>
      </c>
      <c r="F109" s="13" t="n"/>
      <c r="G109" s="14" t="n"/>
      <c r="H109" s="14" t="n"/>
      <c r="I109" s="13" t="n"/>
      <c r="J109" s="14" t="n"/>
      <c r="K109" s="14" t="n"/>
      <c r="L109" s="13" t="n"/>
      <c r="M109" s="14" t="n"/>
      <c r="N109" s="38" t="n"/>
      <c r="O109" s="13" t="n"/>
      <c r="P109" s="14" t="n"/>
      <c r="Q109" s="38" t="n"/>
      <c r="R109" s="13" t="n"/>
      <c r="S109" s="14" t="n"/>
      <c r="T109" s="14" t="n"/>
      <c r="U109" s="103" t="n"/>
    </row>
    <row r="110" outlineLevel="1" ht="13" customHeight="1">
      <c r="A110" s="43">
        <f>IF(#REF!="","",#REF!)</f>
        <v/>
      </c>
      <c r="B110" s="43">
        <f>IF(#REF!="","",#REF!)</f>
        <v/>
      </c>
      <c r="C110" s="43">
        <f>IF(#REF!="","",#REF!)</f>
        <v/>
      </c>
      <c r="D110" s="44">
        <f>IF(#REF!="","",#REF!)</f>
        <v/>
      </c>
      <c r="E110" s="43">
        <f>IF(#REF!="","",#REF!)</f>
        <v/>
      </c>
      <c r="F110" s="13" t="n"/>
      <c r="G110" s="14" t="n"/>
      <c r="H110" s="14" t="n"/>
      <c r="I110" s="13" t="n"/>
      <c r="J110" s="14" t="n"/>
      <c r="K110" s="14" t="n"/>
      <c r="L110" s="13" t="n"/>
      <c r="M110" s="14" t="n"/>
      <c r="N110" s="38" t="n"/>
      <c r="O110" s="13" t="n"/>
      <c r="P110" s="14" t="n"/>
      <c r="Q110" s="38" t="n"/>
      <c r="R110" s="13" t="n"/>
      <c r="S110" s="14" t="n"/>
      <c r="T110" s="14" t="n"/>
      <c r="U110" s="103" t="n"/>
    </row>
    <row r="111" outlineLevel="1" ht="13" customHeight="1">
      <c r="A111" s="43">
        <f>IF(#REF!="","",#REF!)</f>
        <v/>
      </c>
      <c r="B111" s="43">
        <f>IF(#REF!="","",#REF!)</f>
        <v/>
      </c>
      <c r="C111" s="43">
        <f>IF(#REF!="","",#REF!)</f>
        <v/>
      </c>
      <c r="D111" s="44">
        <f>IF(#REF!="","",#REF!)</f>
        <v/>
      </c>
      <c r="E111" s="43">
        <f>IF(#REF!="","",#REF!)</f>
        <v/>
      </c>
      <c r="F111" s="13" t="n"/>
      <c r="G111" s="14" t="n"/>
      <c r="H111" s="14" t="n"/>
      <c r="I111" s="13" t="n"/>
      <c r="J111" s="14" t="n"/>
      <c r="K111" s="14" t="n"/>
      <c r="L111" s="13" t="n"/>
      <c r="M111" s="14" t="n"/>
      <c r="N111" s="38" t="n"/>
      <c r="O111" s="13" t="n"/>
      <c r="P111" s="14" t="n"/>
      <c r="Q111" s="38" t="n"/>
      <c r="R111" s="13" t="n"/>
      <c r="S111" s="14" t="n"/>
      <c r="T111" s="14" t="n"/>
      <c r="U111" s="103" t="n"/>
    </row>
    <row r="112" outlineLevel="1" ht="13" customHeight="1">
      <c r="A112" s="43">
        <f>IF(#REF!="","",#REF!)</f>
        <v/>
      </c>
      <c r="B112" s="43">
        <f>IF(#REF!="","",#REF!)</f>
        <v/>
      </c>
      <c r="C112" s="43">
        <f>IF(#REF!="","",#REF!)</f>
        <v/>
      </c>
      <c r="D112" s="44">
        <f>IF(#REF!="","",#REF!)</f>
        <v/>
      </c>
      <c r="E112" s="43">
        <f>IF(#REF!="","",#REF!)</f>
        <v/>
      </c>
      <c r="F112" s="13" t="n"/>
      <c r="G112" s="14" t="n"/>
      <c r="H112" s="14" t="n"/>
      <c r="I112" s="13" t="n"/>
      <c r="J112" s="14" t="n"/>
      <c r="K112" s="14" t="n"/>
      <c r="L112" s="13" t="n"/>
      <c r="M112" s="14" t="n"/>
      <c r="N112" s="38" t="n"/>
      <c r="O112" s="13" t="n"/>
      <c r="P112" s="14" t="n"/>
      <c r="Q112" s="38" t="n"/>
      <c r="R112" s="13" t="n"/>
      <c r="S112" s="14" t="n"/>
      <c r="T112" s="14" t="n"/>
      <c r="U112" s="103" t="n"/>
    </row>
    <row r="113" outlineLevel="1" ht="13" customHeight="1">
      <c r="A113" s="43">
        <f>IF(#REF!="","",#REF!)</f>
        <v/>
      </c>
      <c r="B113" s="43">
        <f>IF(#REF!="","",#REF!)</f>
        <v/>
      </c>
      <c r="C113" s="43">
        <f>IF(#REF!="","",#REF!)</f>
        <v/>
      </c>
      <c r="D113" s="44">
        <f>IF(#REF!="","",#REF!)</f>
        <v/>
      </c>
      <c r="E113" s="43">
        <f>IF(#REF!="","",#REF!)</f>
        <v/>
      </c>
      <c r="F113" s="13" t="n"/>
      <c r="G113" s="14" t="n"/>
      <c r="H113" s="14" t="n"/>
      <c r="I113" s="13" t="n"/>
      <c r="J113" s="14" t="n"/>
      <c r="K113" s="14" t="n"/>
      <c r="L113" s="13" t="n"/>
      <c r="M113" s="14" t="n"/>
      <c r="N113" s="38" t="n"/>
      <c r="O113" s="13" t="n"/>
      <c r="P113" s="14" t="n"/>
      <c r="Q113" s="38" t="n"/>
      <c r="R113" s="13" t="n"/>
      <c r="S113" s="14" t="n"/>
      <c r="T113" s="14" t="n"/>
      <c r="U113" s="103" t="n"/>
    </row>
    <row r="114" outlineLevel="1" ht="13" customHeight="1">
      <c r="A114" s="43">
        <f>IF(#REF!="","",#REF!)</f>
        <v/>
      </c>
      <c r="B114" s="43">
        <f>IF(#REF!="","",#REF!)</f>
        <v/>
      </c>
      <c r="C114" s="43">
        <f>IF(#REF!="","",#REF!)</f>
        <v/>
      </c>
      <c r="D114" s="44">
        <f>IF(#REF!="","",#REF!)</f>
        <v/>
      </c>
      <c r="E114" s="43">
        <f>IF(#REF!="","",#REF!)</f>
        <v/>
      </c>
      <c r="F114" s="13" t="n"/>
      <c r="G114" s="14" t="n"/>
      <c r="H114" s="14" t="n"/>
      <c r="I114" s="13" t="n"/>
      <c r="J114" s="14" t="n"/>
      <c r="K114" s="14" t="n"/>
      <c r="L114" s="13" t="n"/>
      <c r="M114" s="14" t="n"/>
      <c r="N114" s="38" t="n"/>
      <c r="O114" s="13" t="n"/>
      <c r="P114" s="14" t="n"/>
      <c r="Q114" s="38" t="n"/>
      <c r="R114" s="13" t="n"/>
      <c r="S114" s="14" t="n"/>
      <c r="T114" s="14" t="n"/>
      <c r="U114" s="103" t="n"/>
    </row>
    <row r="115" collapsed="1" ht="13" customHeight="1">
      <c r="A115" s="43">
        <f>IF(#REF!="","",#REF!)</f>
        <v/>
      </c>
      <c r="B115" s="43">
        <f>IF(#REF!="","",#REF!)</f>
        <v/>
      </c>
      <c r="C115" s="43">
        <f>IF(#REF!="","",#REF!)</f>
        <v/>
      </c>
      <c r="D115" s="44">
        <f>IF(#REF!="","",#REF!)</f>
        <v/>
      </c>
      <c r="E115" s="43">
        <f>IF(#REF!="","",#REF!)</f>
        <v/>
      </c>
      <c r="F115" s="13" t="n"/>
      <c r="G115" s="14" t="n"/>
      <c r="H115" s="14" t="n"/>
      <c r="I115" s="13" t="n"/>
      <c r="J115" s="14" t="n"/>
      <c r="K115" s="14" t="n"/>
      <c r="L115" s="13" t="n"/>
      <c r="M115" s="14" t="n"/>
      <c r="N115" s="38" t="n"/>
      <c r="O115" s="13" t="n"/>
      <c r="P115" s="14" t="n"/>
      <c r="Q115" s="38" t="n"/>
      <c r="R115" s="13" t="n"/>
      <c r="S115" s="14" t="n"/>
      <c r="T115" s="14" t="n"/>
      <c r="U115" s="103" t="n"/>
    </row>
    <row r="116" outlineLevel="1" ht="13" customHeight="1">
      <c r="A116" s="43">
        <f>IF(#REF!="","",#REF!)</f>
        <v/>
      </c>
      <c r="B116" s="43">
        <f>IF(#REF!="","",#REF!)</f>
        <v/>
      </c>
      <c r="C116" s="43">
        <f>IF(#REF!="","",#REF!)</f>
        <v/>
      </c>
      <c r="D116" s="44">
        <f>IF(#REF!="","",#REF!)</f>
        <v/>
      </c>
      <c r="E116" s="43">
        <f>IF(#REF!="","",#REF!)</f>
        <v/>
      </c>
      <c r="F116" s="13" t="n"/>
      <c r="G116" s="14" t="n"/>
      <c r="H116" s="14" t="n"/>
      <c r="I116" s="13" t="n"/>
      <c r="J116" s="14" t="n"/>
      <c r="K116" s="14" t="n"/>
      <c r="L116" s="13" t="n"/>
      <c r="M116" s="14" t="n"/>
      <c r="N116" s="38" t="n"/>
      <c r="O116" s="13" t="n"/>
      <c r="P116" s="14" t="n"/>
      <c r="Q116" s="38" t="n"/>
      <c r="R116" s="13" t="n"/>
      <c r="S116" s="14" t="n"/>
      <c r="T116" s="14" t="n"/>
      <c r="U116" s="103" t="n"/>
    </row>
    <row r="117" outlineLevel="1" ht="13" customHeight="1">
      <c r="A117" s="43">
        <f>IF(#REF!="","",#REF!)</f>
        <v/>
      </c>
      <c r="B117" s="43">
        <f>IF(#REF!="","",#REF!)</f>
        <v/>
      </c>
      <c r="C117" s="43">
        <f>IF(#REF!="","",#REF!)</f>
        <v/>
      </c>
      <c r="D117" s="44">
        <f>IF(#REF!="","",#REF!)</f>
        <v/>
      </c>
      <c r="E117" s="43">
        <f>IF(#REF!="","",#REF!)</f>
        <v/>
      </c>
      <c r="F117" s="13" t="n"/>
      <c r="G117" s="14" t="n"/>
      <c r="H117" s="14" t="n"/>
      <c r="I117" s="13" t="n"/>
      <c r="J117" s="14" t="n"/>
      <c r="K117" s="14" t="n"/>
      <c r="L117" s="13" t="n"/>
      <c r="M117" s="14" t="n"/>
      <c r="N117" s="38" t="n"/>
      <c r="O117" s="13" t="n"/>
      <c r="P117" s="14" t="n"/>
      <c r="Q117" s="38" t="n"/>
      <c r="R117" s="13" t="n"/>
      <c r="S117" s="14" t="n"/>
      <c r="T117" s="14" t="n"/>
      <c r="U117" s="103" t="n"/>
    </row>
    <row r="118" outlineLevel="1" ht="13" customHeight="1">
      <c r="A118" s="43">
        <f>IF(#REF!="","",#REF!)</f>
        <v/>
      </c>
      <c r="B118" s="43">
        <f>IF(#REF!="","",#REF!)</f>
        <v/>
      </c>
      <c r="C118" s="43">
        <f>IF(#REF!="","",#REF!)</f>
        <v/>
      </c>
      <c r="D118" s="44">
        <f>IF(#REF!="","",#REF!)</f>
        <v/>
      </c>
      <c r="E118" s="43">
        <f>IF(#REF!="","",#REF!)</f>
        <v/>
      </c>
      <c r="F118" s="13" t="n"/>
      <c r="G118" s="14" t="n"/>
      <c r="H118" s="14" t="n"/>
      <c r="I118" s="13" t="n"/>
      <c r="J118" s="14" t="n"/>
      <c r="K118" s="14" t="n"/>
      <c r="L118" s="13" t="n"/>
      <c r="M118" s="14" t="n"/>
      <c r="N118" s="38" t="n"/>
      <c r="O118" s="13" t="n"/>
      <c r="P118" s="14" t="n"/>
      <c r="Q118" s="38" t="n"/>
      <c r="R118" s="13" t="n"/>
      <c r="S118" s="14" t="n"/>
      <c r="T118" s="14" t="n"/>
      <c r="U118" s="103" t="n"/>
    </row>
    <row r="119" outlineLevel="1" ht="13" customHeight="1">
      <c r="A119" s="43">
        <f>IF(#REF!="","",#REF!)</f>
        <v/>
      </c>
      <c r="B119" s="43">
        <f>IF(#REF!="","",#REF!)</f>
        <v/>
      </c>
      <c r="C119" s="43">
        <f>IF(#REF!="","",#REF!)</f>
        <v/>
      </c>
      <c r="D119" s="44">
        <f>IF(#REF!="","",#REF!)</f>
        <v/>
      </c>
      <c r="E119" s="43">
        <f>IF(#REF!="","",#REF!)</f>
        <v/>
      </c>
      <c r="F119" s="13" t="n"/>
      <c r="G119" s="14" t="n"/>
      <c r="H119" s="14" t="n"/>
      <c r="I119" s="13" t="n"/>
      <c r="J119" s="14" t="n"/>
      <c r="K119" s="14" t="n"/>
      <c r="L119" s="13" t="n"/>
      <c r="M119" s="14" t="n"/>
      <c r="N119" s="38" t="n"/>
      <c r="O119" s="13" t="n"/>
      <c r="P119" s="14" t="n"/>
      <c r="Q119" s="38" t="n"/>
      <c r="R119" s="13" t="n"/>
      <c r="S119" s="14" t="n"/>
      <c r="T119" s="14" t="n"/>
      <c r="U119" s="103" t="n"/>
    </row>
    <row r="120" outlineLevel="1" ht="13" customHeight="1">
      <c r="A120" s="43">
        <f>IF(#REF!="","",#REF!)</f>
        <v/>
      </c>
      <c r="B120" s="43">
        <f>IF(#REF!="","",#REF!)</f>
        <v/>
      </c>
      <c r="C120" s="43">
        <f>IF(#REF!="","",#REF!)</f>
        <v/>
      </c>
      <c r="D120" s="44">
        <f>IF(#REF!="","",#REF!)</f>
        <v/>
      </c>
      <c r="E120" s="43">
        <f>IF(#REF!="","",#REF!)</f>
        <v/>
      </c>
      <c r="F120" s="13" t="n"/>
      <c r="G120" s="14" t="n"/>
      <c r="H120" s="14" t="n"/>
      <c r="I120" s="13" t="n"/>
      <c r="J120" s="14" t="n"/>
      <c r="K120" s="14" t="n"/>
      <c r="L120" s="13" t="n"/>
      <c r="M120" s="14" t="n"/>
      <c r="N120" s="38" t="n"/>
      <c r="O120" s="13" t="n"/>
      <c r="P120" s="14" t="n"/>
      <c r="Q120" s="38" t="n"/>
      <c r="R120" s="13" t="n"/>
      <c r="S120" s="14" t="n"/>
      <c r="T120" s="14" t="n"/>
      <c r="U120" s="103" t="n"/>
    </row>
    <row r="121" outlineLevel="1" ht="13" customHeight="1">
      <c r="A121" s="43">
        <f>IF(#REF!="","",#REF!)</f>
        <v/>
      </c>
      <c r="B121" s="43">
        <f>IF(#REF!="","",#REF!)</f>
        <v/>
      </c>
      <c r="C121" s="43">
        <f>IF(#REF!="","",#REF!)</f>
        <v/>
      </c>
      <c r="D121" s="44">
        <f>IF(#REF!="","",#REF!)</f>
        <v/>
      </c>
      <c r="E121" s="43">
        <f>IF(#REF!="","",#REF!)</f>
        <v/>
      </c>
      <c r="F121" s="13" t="n"/>
      <c r="G121" s="14" t="n"/>
      <c r="H121" s="14" t="n"/>
      <c r="I121" s="13" t="n"/>
      <c r="J121" s="14" t="n"/>
      <c r="K121" s="14" t="n"/>
      <c r="L121" s="13" t="n"/>
      <c r="M121" s="14" t="n"/>
      <c r="N121" s="38" t="n"/>
      <c r="O121" s="13" t="n"/>
      <c r="P121" s="14" t="n"/>
      <c r="Q121" s="38" t="n"/>
      <c r="R121" s="13" t="n"/>
      <c r="S121" s="14" t="n"/>
      <c r="T121" s="14" t="n"/>
      <c r="U121" s="103" t="n"/>
    </row>
    <row r="122" outlineLevel="1" ht="13" customHeight="1">
      <c r="A122" s="43">
        <f>IF(#REF!="","",#REF!)</f>
        <v/>
      </c>
      <c r="B122" s="43">
        <f>IF(#REF!="","",#REF!)</f>
        <v/>
      </c>
      <c r="C122" s="43">
        <f>IF(#REF!="","",#REF!)</f>
        <v/>
      </c>
      <c r="D122" s="44">
        <f>IF(#REF!="","",#REF!)</f>
        <v/>
      </c>
      <c r="E122" s="43">
        <f>IF(#REF!="","",#REF!)</f>
        <v/>
      </c>
      <c r="F122" s="13" t="n"/>
      <c r="G122" s="14" t="n"/>
      <c r="H122" s="14" t="n"/>
      <c r="I122" s="13" t="n"/>
      <c r="J122" s="14" t="n"/>
      <c r="K122" s="14" t="n"/>
      <c r="L122" s="13" t="n"/>
      <c r="M122" s="14" t="n"/>
      <c r="N122" s="38" t="n"/>
      <c r="O122" s="13" t="n"/>
      <c r="P122" s="14" t="n"/>
      <c r="Q122" s="38" t="n"/>
      <c r="R122" s="13" t="n"/>
      <c r="S122" s="14" t="n"/>
      <c r="T122" s="14" t="n"/>
      <c r="U122" s="103" t="n"/>
    </row>
    <row r="123" outlineLevel="1" ht="13" customHeight="1">
      <c r="A123" s="43">
        <f>IF(#REF!="","",#REF!)</f>
        <v/>
      </c>
      <c r="B123" s="43">
        <f>IF(#REF!="","",#REF!)</f>
        <v/>
      </c>
      <c r="C123" s="43">
        <f>IF(#REF!="","",#REF!)</f>
        <v/>
      </c>
      <c r="D123" s="44">
        <f>IF(#REF!="","",#REF!)</f>
        <v/>
      </c>
      <c r="E123" s="43">
        <f>IF(#REF!="","",#REF!)</f>
        <v/>
      </c>
      <c r="F123" s="13" t="n"/>
      <c r="G123" s="14" t="n"/>
      <c r="H123" s="14" t="n"/>
      <c r="I123" s="13" t="n"/>
      <c r="J123" s="14" t="n"/>
      <c r="K123" s="14" t="n"/>
      <c r="L123" s="13" t="n"/>
      <c r="M123" s="14" t="n"/>
      <c r="N123" s="38" t="n"/>
      <c r="O123" s="13" t="n"/>
      <c r="P123" s="14" t="n"/>
      <c r="Q123" s="38" t="n"/>
      <c r="R123" s="13" t="n"/>
      <c r="S123" s="14" t="n"/>
      <c r="T123" s="14" t="n"/>
      <c r="U123" s="103" t="n"/>
    </row>
    <row r="124" outlineLevel="1" ht="13" customHeight="1">
      <c r="A124" s="43">
        <f>IF(#REF!="","",#REF!)</f>
        <v/>
      </c>
      <c r="B124" s="43">
        <f>IF(#REF!="","",#REF!)</f>
        <v/>
      </c>
      <c r="C124" s="43">
        <f>IF(#REF!="","",#REF!)</f>
        <v/>
      </c>
      <c r="D124" s="44">
        <f>IF(#REF!="","",#REF!)</f>
        <v/>
      </c>
      <c r="E124" s="43">
        <f>IF(#REF!="","",#REF!)</f>
        <v/>
      </c>
      <c r="F124" s="13" t="n"/>
      <c r="G124" s="14" t="n"/>
      <c r="H124" s="14" t="n"/>
      <c r="I124" s="13" t="n"/>
      <c r="J124" s="14" t="n"/>
      <c r="K124" s="14" t="n"/>
      <c r="L124" s="13" t="n"/>
      <c r="M124" s="14" t="n"/>
      <c r="N124" s="38" t="n"/>
      <c r="O124" s="13" t="n"/>
      <c r="P124" s="14" t="n"/>
      <c r="Q124" s="38" t="n"/>
      <c r="R124" s="13" t="n"/>
      <c r="S124" s="14" t="n"/>
      <c r="T124" s="14" t="n"/>
      <c r="U124" s="103" t="n"/>
    </row>
    <row r="125" outlineLevel="1" ht="13" customHeight="1">
      <c r="A125" s="43">
        <f>IF(#REF!="","",#REF!)</f>
        <v/>
      </c>
      <c r="B125" s="43">
        <f>IF(#REF!="","",#REF!)</f>
        <v/>
      </c>
      <c r="C125" s="43">
        <f>IF(#REF!="","",#REF!)</f>
        <v/>
      </c>
      <c r="D125" s="44">
        <f>IF(#REF!="","",#REF!)</f>
        <v/>
      </c>
      <c r="E125" s="43">
        <f>IF(#REF!="","",#REF!)</f>
        <v/>
      </c>
      <c r="F125" s="13" t="n"/>
      <c r="G125" s="14" t="n"/>
      <c r="H125" s="14" t="n"/>
      <c r="I125" s="13" t="n"/>
      <c r="J125" s="14" t="n"/>
      <c r="K125" s="14" t="n"/>
      <c r="L125" s="13" t="n"/>
      <c r="M125" s="14" t="n"/>
      <c r="N125" s="38" t="n"/>
      <c r="O125" s="13" t="n"/>
      <c r="P125" s="14" t="n"/>
      <c r="Q125" s="38" t="n"/>
      <c r="R125" s="13" t="n"/>
      <c r="S125" s="14" t="n"/>
      <c r="T125" s="14" t="n"/>
      <c r="U125" s="103" t="n"/>
    </row>
    <row r="126" outlineLevel="1" ht="13" customHeight="1">
      <c r="A126" s="43">
        <f>IF(#REF!="","",#REF!)</f>
        <v/>
      </c>
      <c r="B126" s="43">
        <f>IF(#REF!="","",#REF!)</f>
        <v/>
      </c>
      <c r="C126" s="43">
        <f>IF(#REF!="","",#REF!)</f>
        <v/>
      </c>
      <c r="D126" s="44">
        <f>IF(#REF!="","",#REF!)</f>
        <v/>
      </c>
      <c r="E126" s="43">
        <f>IF(#REF!="","",#REF!)</f>
        <v/>
      </c>
      <c r="F126" s="13" t="n"/>
      <c r="G126" s="14" t="n"/>
      <c r="H126" s="14" t="n"/>
      <c r="I126" s="13" t="n"/>
      <c r="J126" s="14" t="n"/>
      <c r="K126" s="14" t="n"/>
      <c r="L126" s="13" t="n"/>
      <c r="M126" s="14" t="n"/>
      <c r="N126" s="38" t="n"/>
      <c r="O126" s="13" t="n"/>
      <c r="P126" s="14" t="n"/>
      <c r="Q126" s="38" t="n"/>
      <c r="R126" s="13" t="n"/>
      <c r="S126" s="14" t="n"/>
      <c r="T126" s="14" t="n"/>
      <c r="U126" s="103" t="n"/>
    </row>
    <row r="127" outlineLevel="1" ht="13" customHeight="1">
      <c r="A127" s="43">
        <f>IF(#REF!="","",#REF!)</f>
        <v/>
      </c>
      <c r="B127" s="43">
        <f>IF(#REF!="","",#REF!)</f>
        <v/>
      </c>
      <c r="C127" s="43">
        <f>IF(#REF!="","",#REF!)</f>
        <v/>
      </c>
      <c r="D127" s="44">
        <f>IF(#REF!="","",#REF!)</f>
        <v/>
      </c>
      <c r="E127" s="43">
        <f>IF(#REF!="","",#REF!)</f>
        <v/>
      </c>
      <c r="F127" s="13" t="n"/>
      <c r="G127" s="14" t="n"/>
      <c r="H127" s="14" t="n"/>
      <c r="I127" s="13" t="n"/>
      <c r="J127" s="14" t="n"/>
      <c r="K127" s="14" t="n"/>
      <c r="L127" s="13" t="n"/>
      <c r="M127" s="14" t="n"/>
      <c r="N127" s="38" t="n"/>
      <c r="O127" s="13" t="n"/>
      <c r="P127" s="14" t="n"/>
      <c r="Q127" s="38" t="n"/>
      <c r="R127" s="13" t="n"/>
      <c r="S127" s="14" t="n"/>
      <c r="T127" s="14" t="n"/>
      <c r="U127" s="103" t="n"/>
    </row>
    <row r="128" outlineLevel="1" ht="13" customHeight="1">
      <c r="A128" s="43">
        <f>IF(#REF!="","",#REF!)</f>
        <v/>
      </c>
      <c r="B128" s="43">
        <f>IF(#REF!="","",#REF!)</f>
        <v/>
      </c>
      <c r="C128" s="43">
        <f>IF(#REF!="","",#REF!)</f>
        <v/>
      </c>
      <c r="D128" s="44">
        <f>IF(#REF!="","",#REF!)</f>
        <v/>
      </c>
      <c r="E128" s="43">
        <f>IF(#REF!="","",#REF!)</f>
        <v/>
      </c>
      <c r="F128" s="13" t="n"/>
      <c r="G128" s="14" t="n"/>
      <c r="H128" s="14" t="n"/>
      <c r="I128" s="13" t="n"/>
      <c r="J128" s="14" t="n"/>
      <c r="K128" s="14" t="n"/>
      <c r="L128" s="13" t="n"/>
      <c r="M128" s="14" t="n"/>
      <c r="N128" s="38" t="n"/>
      <c r="O128" s="13" t="n"/>
      <c r="P128" s="14" t="n"/>
      <c r="Q128" s="38" t="n"/>
      <c r="R128" s="13" t="n"/>
      <c r="S128" s="14" t="n"/>
      <c r="T128" s="14" t="n"/>
      <c r="U128" s="103" t="n"/>
    </row>
    <row r="129" outlineLevel="1" ht="13" customHeight="1">
      <c r="A129" s="43">
        <f>IF(#REF!="","",#REF!)</f>
        <v/>
      </c>
      <c r="B129" s="43">
        <f>IF(#REF!="","",#REF!)</f>
        <v/>
      </c>
      <c r="C129" s="43">
        <f>IF(#REF!="","",#REF!)</f>
        <v/>
      </c>
      <c r="D129" s="44">
        <f>IF(#REF!="","",#REF!)</f>
        <v/>
      </c>
      <c r="E129" s="43">
        <f>IF(#REF!="","",#REF!)</f>
        <v/>
      </c>
      <c r="F129" s="13" t="n"/>
      <c r="G129" s="14" t="n"/>
      <c r="H129" s="14" t="n"/>
      <c r="I129" s="13" t="n"/>
      <c r="J129" s="14" t="n"/>
      <c r="K129" s="14" t="n"/>
      <c r="L129" s="13" t="n"/>
      <c r="M129" s="14" t="n"/>
      <c r="N129" s="38" t="n"/>
      <c r="O129" s="13" t="n"/>
      <c r="P129" s="14" t="n"/>
      <c r="Q129" s="38" t="n"/>
      <c r="R129" s="13" t="n"/>
      <c r="S129" s="14" t="n"/>
      <c r="T129" s="14" t="n"/>
      <c r="U129" s="103" t="n"/>
    </row>
    <row r="130" outlineLevel="1" ht="13" customHeight="1">
      <c r="A130" s="43">
        <f>IF(#REF!="","",#REF!)</f>
        <v/>
      </c>
      <c r="B130" s="43">
        <f>IF(#REF!="","",#REF!)</f>
        <v/>
      </c>
      <c r="C130" s="43">
        <f>IF(#REF!="","",#REF!)</f>
        <v/>
      </c>
      <c r="D130" s="44">
        <f>IF(#REF!="","",#REF!)</f>
        <v/>
      </c>
      <c r="E130" s="43">
        <f>IF(#REF!="","",#REF!)</f>
        <v/>
      </c>
      <c r="F130" s="13" t="n"/>
      <c r="G130" s="14" t="n"/>
      <c r="H130" s="14" t="n"/>
      <c r="I130" s="13" t="n"/>
      <c r="J130" s="14" t="n"/>
      <c r="K130" s="14" t="n"/>
      <c r="L130" s="13" t="n"/>
      <c r="M130" s="14" t="n"/>
      <c r="N130" s="38" t="n"/>
      <c r="O130" s="13" t="n"/>
      <c r="P130" s="14" t="n"/>
      <c r="Q130" s="38" t="n"/>
      <c r="R130" s="13" t="n"/>
      <c r="S130" s="14" t="n"/>
      <c r="T130" s="14" t="n"/>
      <c r="U130" s="103" t="n"/>
    </row>
    <row r="131" outlineLevel="1" ht="13" customHeight="1">
      <c r="A131" s="43">
        <f>IF(#REF!="","",#REF!)</f>
        <v/>
      </c>
      <c r="B131" s="43">
        <f>IF(#REF!="","",#REF!)</f>
        <v/>
      </c>
      <c r="C131" s="43">
        <f>IF(#REF!="","",#REF!)</f>
        <v/>
      </c>
      <c r="D131" s="44">
        <f>IF(#REF!="","",#REF!)</f>
        <v/>
      </c>
      <c r="E131" s="43">
        <f>IF(#REF!="","",#REF!)</f>
        <v/>
      </c>
      <c r="F131" s="13" t="n"/>
      <c r="G131" s="14" t="n"/>
      <c r="H131" s="14" t="n"/>
      <c r="I131" s="13" t="n"/>
      <c r="J131" s="14" t="n"/>
      <c r="K131" s="14" t="n"/>
      <c r="L131" s="13" t="n"/>
      <c r="M131" s="14" t="n"/>
      <c r="N131" s="38" t="n"/>
      <c r="O131" s="13" t="n"/>
      <c r="P131" s="14" t="n"/>
      <c r="Q131" s="38" t="n"/>
      <c r="R131" s="13" t="n"/>
      <c r="S131" s="14" t="n"/>
      <c r="T131" s="14" t="n"/>
      <c r="U131" s="103" t="n"/>
    </row>
    <row r="132" outlineLevel="1" ht="13" customHeight="1">
      <c r="A132" s="43">
        <f>IF(#REF!="","",#REF!)</f>
        <v/>
      </c>
      <c r="B132" s="43">
        <f>IF(#REF!="","",#REF!)</f>
        <v/>
      </c>
      <c r="C132" s="43">
        <f>IF(#REF!="","",#REF!)</f>
        <v/>
      </c>
      <c r="D132" s="44">
        <f>IF(#REF!="","",#REF!)</f>
        <v/>
      </c>
      <c r="E132" s="43">
        <f>IF(#REF!="","",#REF!)</f>
        <v/>
      </c>
      <c r="F132" s="13" t="n"/>
      <c r="G132" s="14" t="n"/>
      <c r="H132" s="14" t="n"/>
      <c r="I132" s="13" t="n"/>
      <c r="J132" s="14" t="n"/>
      <c r="K132" s="14" t="n"/>
      <c r="L132" s="13" t="n"/>
      <c r="M132" s="14" t="n"/>
      <c r="N132" s="38" t="n"/>
      <c r="O132" s="13" t="n"/>
      <c r="P132" s="14" t="n"/>
      <c r="Q132" s="38" t="n"/>
      <c r="R132" s="13" t="n"/>
      <c r="S132" s="14" t="n"/>
      <c r="T132" s="14" t="n"/>
      <c r="U132" s="103" t="n"/>
    </row>
    <row r="133" outlineLevel="1" ht="13" customHeight="1">
      <c r="A133" s="43">
        <f>IF(#REF!="","",#REF!)</f>
        <v/>
      </c>
      <c r="B133" s="43">
        <f>IF(#REF!="","",#REF!)</f>
        <v/>
      </c>
      <c r="C133" s="43">
        <f>IF(#REF!="","",#REF!)</f>
        <v/>
      </c>
      <c r="D133" s="44">
        <f>IF(#REF!="","",#REF!)</f>
        <v/>
      </c>
      <c r="E133" s="43">
        <f>IF(#REF!="","",#REF!)</f>
        <v/>
      </c>
      <c r="F133" s="13" t="n"/>
      <c r="G133" s="14" t="n"/>
      <c r="H133" s="14" t="n"/>
      <c r="I133" s="13" t="n"/>
      <c r="J133" s="14" t="n"/>
      <c r="K133" s="14" t="n"/>
      <c r="L133" s="13" t="n"/>
      <c r="M133" s="14" t="n"/>
      <c r="N133" s="38" t="n"/>
      <c r="O133" s="13" t="n"/>
      <c r="P133" s="14" t="n"/>
      <c r="Q133" s="38" t="n"/>
      <c r="R133" s="13" t="n"/>
      <c r="S133" s="14" t="n"/>
      <c r="T133" s="14" t="n"/>
      <c r="U133" s="103" t="n"/>
    </row>
    <row r="134" outlineLevel="1" ht="13" customHeight="1">
      <c r="A134" s="43">
        <f>IF(#REF!="","",#REF!)</f>
        <v/>
      </c>
      <c r="B134" s="43">
        <f>IF(#REF!="","",#REF!)</f>
        <v/>
      </c>
      <c r="C134" s="43">
        <f>IF(#REF!="","",#REF!)</f>
        <v/>
      </c>
      <c r="D134" s="44">
        <f>IF(#REF!="","",#REF!)</f>
        <v/>
      </c>
      <c r="E134" s="43">
        <f>IF(#REF!="","",#REF!)</f>
        <v/>
      </c>
      <c r="F134" s="13" t="n"/>
      <c r="G134" s="14" t="n"/>
      <c r="H134" s="14" t="n"/>
      <c r="I134" s="13" t="n"/>
      <c r="J134" s="14" t="n"/>
      <c r="K134" s="14" t="n"/>
      <c r="L134" s="13" t="n"/>
      <c r="M134" s="14" t="n"/>
      <c r="N134" s="38" t="n"/>
      <c r="O134" s="13" t="n"/>
      <c r="P134" s="14" t="n"/>
      <c r="Q134" s="38" t="n"/>
      <c r="R134" s="13" t="n"/>
      <c r="S134" s="14" t="n"/>
      <c r="T134" s="14" t="n"/>
      <c r="U134" s="103" t="n"/>
    </row>
    <row r="135" outlineLevel="1" ht="13" customHeight="1">
      <c r="A135" s="43">
        <f>IF(#REF!="","",#REF!)</f>
        <v/>
      </c>
      <c r="B135" s="43">
        <f>IF(#REF!="","",#REF!)</f>
        <v/>
      </c>
      <c r="C135" s="43">
        <f>IF(#REF!="","",#REF!)</f>
        <v/>
      </c>
      <c r="D135" s="44">
        <f>IF(#REF!="","",#REF!)</f>
        <v/>
      </c>
      <c r="E135" s="43">
        <f>IF(#REF!="","",#REF!)</f>
        <v/>
      </c>
      <c r="F135" s="13" t="n"/>
      <c r="G135" s="14" t="n"/>
      <c r="H135" s="14" t="n"/>
      <c r="I135" s="13" t="n"/>
      <c r="J135" s="14" t="n"/>
      <c r="K135" s="14" t="n"/>
      <c r="L135" s="13" t="n"/>
      <c r="M135" s="14" t="n"/>
      <c r="N135" s="38" t="n"/>
      <c r="O135" s="13" t="n"/>
      <c r="P135" s="14" t="n"/>
      <c r="Q135" s="38" t="n"/>
      <c r="R135" s="13" t="n"/>
      <c r="S135" s="14" t="n"/>
      <c r="T135" s="14" t="n"/>
      <c r="U135" s="103" t="n"/>
    </row>
    <row r="136" outlineLevel="1" ht="13" customHeight="1">
      <c r="A136" s="43">
        <f>IF(#REF!="","",#REF!)</f>
        <v/>
      </c>
      <c r="B136" s="43">
        <f>IF(#REF!="","",#REF!)</f>
        <v/>
      </c>
      <c r="C136" s="43">
        <f>IF(#REF!="","",#REF!)</f>
        <v/>
      </c>
      <c r="D136" s="44">
        <f>IF(#REF!="","",#REF!)</f>
        <v/>
      </c>
      <c r="E136" s="43">
        <f>IF(#REF!="","",#REF!)</f>
        <v/>
      </c>
      <c r="F136" s="13" t="n"/>
      <c r="G136" s="14" t="n"/>
      <c r="H136" s="14" t="n"/>
      <c r="I136" s="13" t="n"/>
      <c r="J136" s="14" t="n"/>
      <c r="K136" s="14" t="n"/>
      <c r="L136" s="13" t="n"/>
      <c r="M136" s="14" t="n"/>
      <c r="N136" s="38" t="n"/>
      <c r="O136" s="13" t="n"/>
      <c r="P136" s="14" t="n"/>
      <c r="Q136" s="38" t="n"/>
      <c r="R136" s="13" t="n"/>
      <c r="S136" s="14" t="n"/>
      <c r="T136" s="14" t="n"/>
      <c r="U136" s="103" t="n"/>
    </row>
    <row r="137" outlineLevel="1" ht="13" customHeight="1">
      <c r="A137" s="43">
        <f>IF(#REF!="","",#REF!)</f>
        <v/>
      </c>
      <c r="B137" s="43">
        <f>IF(#REF!="","",#REF!)</f>
        <v/>
      </c>
      <c r="C137" s="43">
        <f>IF(#REF!="","",#REF!)</f>
        <v/>
      </c>
      <c r="D137" s="44">
        <f>IF(#REF!="","",#REF!)</f>
        <v/>
      </c>
      <c r="E137" s="43">
        <f>IF(#REF!="","",#REF!)</f>
        <v/>
      </c>
      <c r="F137" s="13" t="n"/>
      <c r="G137" s="14" t="n"/>
      <c r="H137" s="14" t="n"/>
      <c r="I137" s="13" t="n"/>
      <c r="J137" s="14" t="n"/>
      <c r="K137" s="14" t="n"/>
      <c r="L137" s="13" t="n"/>
      <c r="M137" s="14" t="n"/>
      <c r="N137" s="38" t="n"/>
      <c r="O137" s="13" t="n"/>
      <c r="P137" s="14" t="n"/>
      <c r="Q137" s="38" t="n"/>
      <c r="R137" s="13" t="n"/>
      <c r="S137" s="14" t="n"/>
      <c r="T137" s="14" t="n"/>
      <c r="U137" s="103" t="n"/>
    </row>
    <row r="138" outlineLevel="1" ht="13" customHeight="1">
      <c r="A138" s="43">
        <f>IF(#REF!="","",#REF!)</f>
        <v/>
      </c>
      <c r="B138" s="43">
        <f>IF(#REF!="","",#REF!)</f>
        <v/>
      </c>
      <c r="C138" s="43">
        <f>IF(#REF!="","",#REF!)</f>
        <v/>
      </c>
      <c r="D138" s="44">
        <f>IF(#REF!="","",#REF!)</f>
        <v/>
      </c>
      <c r="E138" s="43">
        <f>IF(#REF!="","",#REF!)</f>
        <v/>
      </c>
      <c r="F138" s="13" t="n"/>
      <c r="G138" s="14" t="n"/>
      <c r="H138" s="14" t="n"/>
      <c r="I138" s="13" t="n"/>
      <c r="J138" s="14" t="n"/>
      <c r="K138" s="14" t="n"/>
      <c r="L138" s="13" t="n"/>
      <c r="M138" s="14" t="n"/>
      <c r="N138" s="38" t="n"/>
      <c r="O138" s="13" t="n"/>
      <c r="P138" s="14" t="n"/>
      <c r="Q138" s="38" t="n"/>
      <c r="R138" s="13" t="n"/>
      <c r="S138" s="14" t="n"/>
      <c r="T138" s="14" t="n"/>
      <c r="U138" s="103" t="n"/>
    </row>
    <row r="139" outlineLevel="1" ht="13" customHeight="1">
      <c r="A139" s="43">
        <f>IF(#REF!="","",#REF!)</f>
        <v/>
      </c>
      <c r="B139" s="43">
        <f>IF(#REF!="","",#REF!)</f>
        <v/>
      </c>
      <c r="C139" s="43">
        <f>IF(#REF!="","",#REF!)</f>
        <v/>
      </c>
      <c r="D139" s="44">
        <f>IF(#REF!="","",#REF!)</f>
        <v/>
      </c>
      <c r="E139" s="43">
        <f>IF(#REF!="","",#REF!)</f>
        <v/>
      </c>
      <c r="F139" s="13" t="n"/>
      <c r="G139" s="14" t="n"/>
      <c r="H139" s="14" t="n"/>
      <c r="I139" s="13" t="n"/>
      <c r="J139" s="14" t="n"/>
      <c r="K139" s="14" t="n"/>
      <c r="L139" s="13" t="n"/>
      <c r="M139" s="14" t="n"/>
      <c r="N139" s="38" t="n"/>
      <c r="O139" s="13" t="n"/>
      <c r="P139" s="14" t="n"/>
      <c r="Q139" s="38" t="n"/>
      <c r="R139" s="13" t="n"/>
      <c r="S139" s="14" t="n"/>
      <c r="T139" s="14" t="n"/>
      <c r="U139" s="103" t="n"/>
    </row>
    <row r="140" ht="13" customHeight="1">
      <c r="A140" s="43">
        <f>IF(#REF!="","",#REF!)</f>
        <v/>
      </c>
      <c r="B140" s="43">
        <f>IF(#REF!="","",#REF!)</f>
        <v/>
      </c>
      <c r="C140" s="43">
        <f>IF(#REF!="","",#REF!)</f>
        <v/>
      </c>
      <c r="D140" s="44">
        <f>IF(#REF!="","",#REF!)</f>
        <v/>
      </c>
      <c r="E140" s="43">
        <f>IF(#REF!="","",#REF!)</f>
        <v/>
      </c>
      <c r="F140" s="13" t="n"/>
      <c r="G140" s="14" t="n"/>
      <c r="H140" s="14" t="n"/>
      <c r="I140" s="13" t="n"/>
      <c r="J140" s="14" t="n"/>
      <c r="K140" s="14" t="n"/>
      <c r="L140" s="13" t="n"/>
      <c r="M140" s="14" t="n"/>
      <c r="N140" s="38" t="n"/>
      <c r="O140" s="13" t="n"/>
      <c r="P140" s="14" t="n"/>
      <c r="Q140" s="38" t="n"/>
      <c r="R140" s="13" t="n"/>
      <c r="S140" s="14" t="n"/>
      <c r="T140" s="14" t="n"/>
      <c r="U140" s="103" t="n"/>
    </row>
    <row r="141" outlineLevel="1" ht="13" customHeight="1">
      <c r="A141" s="43">
        <f>IF(#REF!="","",#REF!)</f>
        <v/>
      </c>
      <c r="B141" s="43">
        <f>IF(#REF!="","",#REF!)</f>
        <v/>
      </c>
      <c r="C141" s="43">
        <f>IF(#REF!="","",#REF!)</f>
        <v/>
      </c>
      <c r="D141" s="44">
        <f>IF(#REF!="","",#REF!)</f>
        <v/>
      </c>
      <c r="E141" s="43">
        <f>IF(#REF!="","",#REF!)</f>
        <v/>
      </c>
      <c r="F141" s="13" t="n"/>
      <c r="G141" s="14" t="n"/>
      <c r="H141" s="14" t="n"/>
      <c r="I141" s="13" t="n"/>
      <c r="J141" s="14" t="n"/>
      <c r="K141" s="14" t="n"/>
      <c r="L141" s="13" t="n"/>
      <c r="M141" s="14" t="n"/>
      <c r="N141" s="38" t="n"/>
      <c r="O141" s="13" t="n"/>
      <c r="P141" s="14" t="n"/>
      <c r="Q141" s="38" t="n"/>
      <c r="R141" s="13" t="n"/>
      <c r="S141" s="14" t="n"/>
      <c r="T141" s="14" t="n"/>
      <c r="U141" s="103" t="n"/>
    </row>
    <row r="142" outlineLevel="1" ht="13" customHeight="1">
      <c r="A142" s="43">
        <f>IF(#REF!="","",#REF!)</f>
        <v/>
      </c>
      <c r="B142" s="43">
        <f>IF(#REF!="","",#REF!)</f>
        <v/>
      </c>
      <c r="C142" s="43">
        <f>IF(#REF!="","",#REF!)</f>
        <v/>
      </c>
      <c r="D142" s="44">
        <f>IF(#REF!="","",#REF!)</f>
        <v/>
      </c>
      <c r="E142" s="43">
        <f>IF(#REF!="","",#REF!)</f>
        <v/>
      </c>
      <c r="F142" s="13" t="n"/>
      <c r="G142" s="14" t="n"/>
      <c r="H142" s="14" t="n"/>
      <c r="I142" s="13" t="n"/>
      <c r="J142" s="14" t="n"/>
      <c r="K142" s="14" t="n"/>
      <c r="L142" s="13" t="n"/>
      <c r="M142" s="14" t="n"/>
      <c r="N142" s="38" t="n"/>
      <c r="O142" s="13" t="n"/>
      <c r="P142" s="14" t="n"/>
      <c r="Q142" s="38" t="n"/>
      <c r="R142" s="13" t="n"/>
      <c r="S142" s="14" t="n"/>
      <c r="T142" s="14" t="n"/>
      <c r="U142" s="103" t="n"/>
    </row>
    <row r="143" outlineLevel="1" ht="13" customHeight="1">
      <c r="A143" s="43">
        <f>IF(#REF!="","",#REF!)</f>
        <v/>
      </c>
      <c r="B143" s="43">
        <f>IF(#REF!="","",#REF!)</f>
        <v/>
      </c>
      <c r="C143" s="43">
        <f>IF(#REF!="","",#REF!)</f>
        <v/>
      </c>
      <c r="D143" s="44">
        <f>IF(#REF!="","",#REF!)</f>
        <v/>
      </c>
      <c r="E143" s="43">
        <f>IF(#REF!="","",#REF!)</f>
        <v/>
      </c>
      <c r="F143" s="13" t="n"/>
      <c r="G143" s="14" t="n"/>
      <c r="H143" s="14" t="n"/>
      <c r="I143" s="13" t="n"/>
      <c r="J143" s="14" t="n"/>
      <c r="K143" s="14" t="n"/>
      <c r="L143" s="13" t="n"/>
      <c r="M143" s="14" t="n"/>
      <c r="N143" s="38" t="n"/>
      <c r="O143" s="13" t="n"/>
      <c r="P143" s="14" t="n"/>
      <c r="Q143" s="38" t="n"/>
      <c r="R143" s="13" t="n"/>
      <c r="S143" s="14" t="n"/>
      <c r="T143" s="14" t="n"/>
      <c r="U143" s="103" t="n"/>
    </row>
    <row r="144" outlineLevel="1" ht="13" customHeight="1">
      <c r="A144" s="43">
        <f>IF(#REF!="","",#REF!)</f>
        <v/>
      </c>
      <c r="B144" s="43">
        <f>IF(#REF!="","",#REF!)</f>
        <v/>
      </c>
      <c r="C144" s="43">
        <f>IF(#REF!="","",#REF!)</f>
        <v/>
      </c>
      <c r="D144" s="44">
        <f>IF(#REF!="","",#REF!)</f>
        <v/>
      </c>
      <c r="E144" s="43">
        <f>IF(#REF!="","",#REF!)</f>
        <v/>
      </c>
      <c r="F144" s="13" t="n"/>
      <c r="G144" s="14" t="n"/>
      <c r="H144" s="14" t="n"/>
      <c r="I144" s="13" t="n"/>
      <c r="J144" s="14" t="n"/>
      <c r="K144" s="14" t="n"/>
      <c r="L144" s="13" t="n"/>
      <c r="M144" s="14" t="n"/>
      <c r="N144" s="38" t="n"/>
      <c r="O144" s="13" t="n"/>
      <c r="P144" s="14" t="n"/>
      <c r="Q144" s="38" t="n"/>
      <c r="R144" s="13" t="n"/>
      <c r="S144" s="14" t="n"/>
      <c r="T144" s="14" t="n"/>
      <c r="U144" s="103" t="n"/>
    </row>
    <row r="145" outlineLevel="1" ht="13" customHeight="1">
      <c r="A145" s="43">
        <f>IF(#REF!="","",#REF!)</f>
        <v/>
      </c>
      <c r="B145" s="43">
        <f>IF(#REF!="","",#REF!)</f>
        <v/>
      </c>
      <c r="C145" s="43">
        <f>IF(#REF!="","",#REF!)</f>
        <v/>
      </c>
      <c r="D145" s="44">
        <f>IF(#REF!="","",#REF!)</f>
        <v/>
      </c>
      <c r="E145" s="43">
        <f>IF(#REF!="","",#REF!)</f>
        <v/>
      </c>
      <c r="F145" s="13" t="n"/>
      <c r="G145" s="14" t="n"/>
      <c r="H145" s="14" t="n"/>
      <c r="I145" s="13" t="n"/>
      <c r="J145" s="14" t="n"/>
      <c r="K145" s="14" t="n"/>
      <c r="L145" s="13" t="n"/>
      <c r="M145" s="14" t="n"/>
      <c r="N145" s="38" t="n"/>
      <c r="O145" s="13" t="n"/>
      <c r="P145" s="14" t="n"/>
      <c r="Q145" s="38" t="n"/>
      <c r="R145" s="13" t="n"/>
      <c r="S145" s="14" t="n"/>
      <c r="T145" s="14" t="n"/>
      <c r="U145" s="103" t="n"/>
    </row>
    <row r="146" outlineLevel="1" ht="13" customHeight="1">
      <c r="A146" s="43">
        <f>IF(#REF!="","",#REF!)</f>
        <v/>
      </c>
      <c r="B146" s="43">
        <f>IF(#REF!="","",#REF!)</f>
        <v/>
      </c>
      <c r="C146" s="43">
        <f>IF(#REF!="","",#REF!)</f>
        <v/>
      </c>
      <c r="D146" s="44">
        <f>IF(#REF!="","",#REF!)</f>
        <v/>
      </c>
      <c r="E146" s="43">
        <f>IF(#REF!="","",#REF!)</f>
        <v/>
      </c>
      <c r="F146" s="13" t="n"/>
      <c r="G146" s="14" t="n"/>
      <c r="H146" s="14" t="n"/>
      <c r="I146" s="13" t="n"/>
      <c r="J146" s="14" t="n"/>
      <c r="K146" s="14" t="n"/>
      <c r="L146" s="13" t="n"/>
      <c r="M146" s="14" t="n"/>
      <c r="N146" s="38" t="n"/>
      <c r="O146" s="13" t="n"/>
      <c r="P146" s="14" t="n"/>
      <c r="Q146" s="38" t="n"/>
      <c r="R146" s="13" t="n"/>
      <c r="S146" s="14" t="n"/>
      <c r="T146" s="14" t="n"/>
      <c r="U146" s="103" t="n"/>
    </row>
    <row r="147" outlineLevel="1" ht="13" customHeight="1">
      <c r="A147" s="43">
        <f>IF(#REF!="","",#REF!)</f>
        <v/>
      </c>
      <c r="B147" s="43">
        <f>IF(#REF!="","",#REF!)</f>
        <v/>
      </c>
      <c r="C147" s="43">
        <f>IF(#REF!="","",#REF!)</f>
        <v/>
      </c>
      <c r="D147" s="44">
        <f>IF(#REF!="","",#REF!)</f>
        <v/>
      </c>
      <c r="E147" s="43">
        <f>IF(#REF!="","",#REF!)</f>
        <v/>
      </c>
      <c r="F147" s="13" t="n"/>
      <c r="G147" s="14" t="n"/>
      <c r="H147" s="14" t="n"/>
      <c r="I147" s="13" t="n"/>
      <c r="J147" s="14" t="n"/>
      <c r="K147" s="14" t="n"/>
      <c r="L147" s="13" t="n"/>
      <c r="M147" s="14" t="n"/>
      <c r="N147" s="38" t="n"/>
      <c r="O147" s="13" t="n"/>
      <c r="P147" s="14" t="n"/>
      <c r="Q147" s="38" t="n"/>
      <c r="R147" s="13" t="n"/>
      <c r="S147" s="14" t="n"/>
      <c r="T147" s="14" t="n"/>
      <c r="U147" s="103" t="n"/>
    </row>
    <row r="148" outlineLevel="1" ht="13" customHeight="1">
      <c r="A148" s="43">
        <f>IF(#REF!="","",#REF!)</f>
        <v/>
      </c>
      <c r="B148" s="43">
        <f>IF(#REF!="","",#REF!)</f>
        <v/>
      </c>
      <c r="C148" s="43">
        <f>IF(#REF!="","",#REF!)</f>
        <v/>
      </c>
      <c r="D148" s="44">
        <f>IF(#REF!="","",#REF!)</f>
        <v/>
      </c>
      <c r="E148" s="43">
        <f>IF(#REF!="","",#REF!)</f>
        <v/>
      </c>
      <c r="F148" s="13" t="n"/>
      <c r="G148" s="14" t="n"/>
      <c r="H148" s="14" t="n"/>
      <c r="I148" s="13" t="n"/>
      <c r="J148" s="14" t="n"/>
      <c r="K148" s="14" t="n"/>
      <c r="L148" s="13" t="n"/>
      <c r="M148" s="14" t="n"/>
      <c r="N148" s="38" t="n"/>
      <c r="O148" s="13" t="n"/>
      <c r="P148" s="14" t="n"/>
      <c r="Q148" s="38" t="n"/>
      <c r="R148" s="13" t="n"/>
      <c r="S148" s="14" t="n"/>
      <c r="T148" s="14" t="n"/>
      <c r="U148" s="103" t="n"/>
    </row>
    <row r="149" outlineLevel="1" ht="13" customHeight="1">
      <c r="A149" s="43">
        <f>IF(#REF!="","",#REF!)</f>
        <v/>
      </c>
      <c r="B149" s="43">
        <f>IF(#REF!="","",#REF!)</f>
        <v/>
      </c>
      <c r="C149" s="43">
        <f>IF(#REF!="","",#REF!)</f>
        <v/>
      </c>
      <c r="D149" s="44">
        <f>IF(#REF!="","",#REF!)</f>
        <v/>
      </c>
      <c r="E149" s="43">
        <f>IF(#REF!="","",#REF!)</f>
        <v/>
      </c>
      <c r="F149" s="13" t="n"/>
      <c r="G149" s="14" t="n"/>
      <c r="H149" s="14" t="n"/>
      <c r="I149" s="13" t="n"/>
      <c r="J149" s="14" t="n"/>
      <c r="K149" s="14" t="n"/>
      <c r="L149" s="13" t="n"/>
      <c r="M149" s="14" t="n"/>
      <c r="N149" s="38" t="n"/>
      <c r="O149" s="13" t="n"/>
      <c r="P149" s="14" t="n"/>
      <c r="Q149" s="38" t="n"/>
      <c r="R149" s="13" t="n"/>
      <c r="S149" s="14" t="n"/>
      <c r="T149" s="14" t="n"/>
      <c r="U149" s="103" t="n"/>
    </row>
    <row r="150" outlineLevel="1" ht="13" customHeight="1">
      <c r="A150" s="43">
        <f>IF(#REF!="","",#REF!)</f>
        <v/>
      </c>
      <c r="B150" s="43">
        <f>IF(#REF!="","",#REF!)</f>
        <v/>
      </c>
      <c r="C150" s="43">
        <f>IF(#REF!="","",#REF!)</f>
        <v/>
      </c>
      <c r="D150" s="44">
        <f>IF(#REF!="","",#REF!)</f>
        <v/>
      </c>
      <c r="E150" s="43">
        <f>IF(#REF!="","",#REF!)</f>
        <v/>
      </c>
      <c r="F150" s="13" t="n"/>
      <c r="G150" s="14" t="n"/>
      <c r="H150" s="14" t="n"/>
      <c r="I150" s="13" t="n"/>
      <c r="J150" s="14" t="n"/>
      <c r="K150" s="14" t="n"/>
      <c r="L150" s="13" t="n"/>
      <c r="M150" s="14" t="n"/>
      <c r="N150" s="38" t="n"/>
      <c r="O150" s="13" t="n"/>
      <c r="P150" s="14" t="n"/>
      <c r="Q150" s="38" t="n"/>
      <c r="R150" s="13" t="n"/>
      <c r="S150" s="14" t="n"/>
      <c r="T150" s="14" t="n"/>
      <c r="U150" s="103" t="n"/>
    </row>
    <row r="151" outlineLevel="1" ht="13" customHeight="1">
      <c r="A151" s="43">
        <f>IF(#REF!="","",#REF!)</f>
        <v/>
      </c>
      <c r="B151" s="43">
        <f>IF(#REF!="","",#REF!)</f>
        <v/>
      </c>
      <c r="C151" s="43">
        <f>IF(#REF!="","",#REF!)</f>
        <v/>
      </c>
      <c r="D151" s="44">
        <f>IF(#REF!="","",#REF!)</f>
        <v/>
      </c>
      <c r="E151" s="43">
        <f>IF(#REF!="","",#REF!)</f>
        <v/>
      </c>
      <c r="F151" s="13" t="n"/>
      <c r="G151" s="14" t="n"/>
      <c r="H151" s="14" t="n"/>
      <c r="I151" s="13" t="n"/>
      <c r="J151" s="14" t="n"/>
      <c r="K151" s="14" t="n"/>
      <c r="L151" s="13" t="n"/>
      <c r="M151" s="14" t="n"/>
      <c r="N151" s="38" t="n"/>
      <c r="O151" s="13" t="n"/>
      <c r="P151" s="14" t="n"/>
      <c r="Q151" s="38" t="n"/>
      <c r="R151" s="13" t="n"/>
      <c r="S151" s="14" t="n"/>
      <c r="T151" s="14" t="n"/>
      <c r="U151" s="103" t="n"/>
    </row>
    <row r="152" outlineLevel="1" ht="13" customHeight="1">
      <c r="A152" s="43">
        <f>IF(#REF!="","",#REF!)</f>
        <v/>
      </c>
      <c r="B152" s="43">
        <f>IF(#REF!="","",#REF!)</f>
        <v/>
      </c>
      <c r="C152" s="43">
        <f>IF(#REF!="","",#REF!)</f>
        <v/>
      </c>
      <c r="D152" s="44">
        <f>IF(#REF!="","",#REF!)</f>
        <v/>
      </c>
      <c r="E152" s="43">
        <f>IF(#REF!="","",#REF!)</f>
        <v/>
      </c>
      <c r="F152" s="13" t="n"/>
      <c r="G152" s="14" t="n"/>
      <c r="H152" s="14" t="n"/>
      <c r="I152" s="13" t="n"/>
      <c r="J152" s="14" t="n"/>
      <c r="K152" s="14" t="n"/>
      <c r="L152" s="13" t="n"/>
      <c r="M152" s="14" t="n"/>
      <c r="N152" s="38" t="n"/>
      <c r="O152" s="13" t="n"/>
      <c r="P152" s="14" t="n"/>
      <c r="Q152" s="38" t="n"/>
      <c r="R152" s="13" t="n"/>
      <c r="S152" s="14" t="n"/>
      <c r="T152" s="14" t="n"/>
      <c r="U152" s="103" t="n"/>
    </row>
    <row r="153" outlineLevel="1" ht="13" customHeight="1">
      <c r="A153" s="43">
        <f>IF(#REF!="","",#REF!)</f>
        <v/>
      </c>
      <c r="B153" s="43">
        <f>IF(#REF!="","",#REF!)</f>
        <v/>
      </c>
      <c r="C153" s="43">
        <f>IF(#REF!="","",#REF!)</f>
        <v/>
      </c>
      <c r="D153" s="44">
        <f>IF(#REF!="","",#REF!)</f>
        <v/>
      </c>
      <c r="E153" s="43">
        <f>IF(#REF!="","",#REF!)</f>
        <v/>
      </c>
      <c r="F153" s="13" t="n"/>
      <c r="G153" s="14" t="n"/>
      <c r="H153" s="14" t="n"/>
      <c r="I153" s="13" t="n"/>
      <c r="J153" s="14" t="n"/>
      <c r="K153" s="14" t="n"/>
      <c r="L153" s="13" t="n"/>
      <c r="M153" s="14" t="n"/>
      <c r="N153" s="38" t="n"/>
      <c r="O153" s="13" t="n"/>
      <c r="P153" s="14" t="n"/>
      <c r="Q153" s="38" t="n"/>
      <c r="R153" s="13" t="n"/>
      <c r="S153" s="14" t="n"/>
      <c r="T153" s="14" t="n"/>
      <c r="U153" s="103" t="n"/>
    </row>
    <row r="154" outlineLevel="1" ht="13" customHeight="1">
      <c r="A154" s="43">
        <f>IF(#REF!="","",#REF!)</f>
        <v/>
      </c>
      <c r="B154" s="43">
        <f>IF(#REF!="","",#REF!)</f>
        <v/>
      </c>
      <c r="C154" s="43">
        <f>IF(#REF!="","",#REF!)</f>
        <v/>
      </c>
      <c r="D154" s="44">
        <f>IF(#REF!="","",#REF!)</f>
        <v/>
      </c>
      <c r="E154" s="43">
        <f>IF(#REF!="","",#REF!)</f>
        <v/>
      </c>
      <c r="F154" s="13" t="n"/>
      <c r="G154" s="14" t="n"/>
      <c r="H154" s="14" t="n"/>
      <c r="I154" s="13" t="n"/>
      <c r="J154" s="14" t="n"/>
      <c r="K154" s="14" t="n"/>
      <c r="L154" s="13" t="n"/>
      <c r="M154" s="14" t="n"/>
      <c r="N154" s="38" t="n"/>
      <c r="O154" s="13" t="n"/>
      <c r="P154" s="14" t="n"/>
      <c r="Q154" s="38" t="n"/>
      <c r="R154" s="13" t="n"/>
      <c r="S154" s="14" t="n"/>
      <c r="T154" s="14" t="n"/>
      <c r="U154" s="103" t="n"/>
    </row>
    <row r="155" outlineLevel="1" ht="13" customHeight="1">
      <c r="A155" s="43">
        <f>IF(#REF!="","",#REF!)</f>
        <v/>
      </c>
      <c r="B155" s="43">
        <f>IF(#REF!="","",#REF!)</f>
        <v/>
      </c>
      <c r="C155" s="43">
        <f>IF(#REF!="","",#REF!)</f>
        <v/>
      </c>
      <c r="D155" s="44">
        <f>IF(#REF!="","",#REF!)</f>
        <v/>
      </c>
      <c r="E155" s="43">
        <f>IF(#REF!="","",#REF!)</f>
        <v/>
      </c>
      <c r="F155" s="13" t="n"/>
      <c r="G155" s="14" t="n"/>
      <c r="H155" s="14" t="n"/>
      <c r="I155" s="13" t="n"/>
      <c r="J155" s="14" t="n"/>
      <c r="K155" s="14" t="n"/>
      <c r="L155" s="13" t="n"/>
      <c r="M155" s="14" t="n"/>
      <c r="N155" s="38" t="n"/>
      <c r="O155" s="13" t="n"/>
      <c r="P155" s="14" t="n"/>
      <c r="Q155" s="38" t="n"/>
      <c r="R155" s="13" t="n"/>
      <c r="S155" s="14" t="n"/>
      <c r="T155" s="14" t="n"/>
      <c r="U155" s="103" t="n"/>
    </row>
    <row r="156" outlineLevel="1" ht="13" customHeight="1">
      <c r="A156" s="43">
        <f>IF(#REF!="","",#REF!)</f>
        <v/>
      </c>
      <c r="B156" s="43">
        <f>IF(#REF!="","",#REF!)</f>
        <v/>
      </c>
      <c r="C156" s="43">
        <f>IF(#REF!="","",#REF!)</f>
        <v/>
      </c>
      <c r="D156" s="44">
        <f>IF(#REF!="","",#REF!)</f>
        <v/>
      </c>
      <c r="E156" s="43">
        <f>IF(#REF!="","",#REF!)</f>
        <v/>
      </c>
      <c r="F156" s="13" t="n"/>
      <c r="G156" s="14" t="n"/>
      <c r="H156" s="14" t="n"/>
      <c r="I156" s="13" t="n"/>
      <c r="J156" s="14" t="n"/>
      <c r="K156" s="14" t="n"/>
      <c r="L156" s="13" t="n"/>
      <c r="M156" s="14" t="n"/>
      <c r="N156" s="38" t="n"/>
      <c r="O156" s="13" t="n"/>
      <c r="P156" s="14" t="n"/>
      <c r="Q156" s="38" t="n"/>
      <c r="R156" s="13" t="n"/>
      <c r="S156" s="14" t="n"/>
      <c r="T156" s="14" t="n"/>
      <c r="U156" s="103" t="n"/>
    </row>
    <row r="157" outlineLevel="1" ht="13" customHeight="1">
      <c r="A157" s="43">
        <f>IF(#REF!="","",#REF!)</f>
        <v/>
      </c>
      <c r="B157" s="43">
        <f>IF(#REF!="","",#REF!)</f>
        <v/>
      </c>
      <c r="C157" s="43">
        <f>IF(#REF!="","",#REF!)</f>
        <v/>
      </c>
      <c r="D157" s="44">
        <f>IF(#REF!="","",#REF!)</f>
        <v/>
      </c>
      <c r="E157" s="43">
        <f>IF(#REF!="","",#REF!)</f>
        <v/>
      </c>
      <c r="F157" s="13" t="n"/>
      <c r="G157" s="14" t="n"/>
      <c r="H157" s="14" t="n"/>
      <c r="I157" s="13" t="n"/>
      <c r="J157" s="14" t="n"/>
      <c r="K157" s="14" t="n"/>
      <c r="L157" s="13" t="n"/>
      <c r="M157" s="14" t="n"/>
      <c r="N157" s="38" t="n"/>
      <c r="O157" s="13" t="n"/>
      <c r="P157" s="14" t="n"/>
      <c r="Q157" s="38" t="n"/>
      <c r="R157" s="13" t="n"/>
      <c r="S157" s="14" t="n"/>
      <c r="T157" s="14" t="n"/>
      <c r="U157" s="103" t="n"/>
    </row>
    <row r="158" outlineLevel="1" ht="13" customHeight="1">
      <c r="A158" s="43">
        <f>IF(#REF!="","",#REF!)</f>
        <v/>
      </c>
      <c r="B158" s="43">
        <f>IF(#REF!="","",#REF!)</f>
        <v/>
      </c>
      <c r="C158" s="43">
        <f>IF(#REF!="","",#REF!)</f>
        <v/>
      </c>
      <c r="D158" s="44">
        <f>IF(#REF!="","",#REF!)</f>
        <v/>
      </c>
      <c r="E158" s="43">
        <f>IF(#REF!="","",#REF!)</f>
        <v/>
      </c>
      <c r="F158" s="13" t="n"/>
      <c r="G158" s="14" t="n"/>
      <c r="H158" s="14" t="n"/>
      <c r="I158" s="13" t="n"/>
      <c r="J158" s="14" t="n"/>
      <c r="K158" s="14" t="n"/>
      <c r="L158" s="13" t="n"/>
      <c r="M158" s="14" t="n"/>
      <c r="N158" s="38" t="n"/>
      <c r="O158" s="13" t="n"/>
      <c r="P158" s="14" t="n"/>
      <c r="Q158" s="38" t="n"/>
      <c r="R158" s="13" t="n"/>
      <c r="S158" s="14" t="n"/>
      <c r="T158" s="14" t="n"/>
      <c r="U158" s="103" t="n"/>
    </row>
    <row r="159" outlineLevel="1" ht="13" customHeight="1">
      <c r="A159" s="43">
        <f>IF(#REF!="","",#REF!)</f>
        <v/>
      </c>
      <c r="B159" s="43">
        <f>IF(#REF!="","",#REF!)</f>
        <v/>
      </c>
      <c r="C159" s="43">
        <f>IF(#REF!="","",#REF!)</f>
        <v/>
      </c>
      <c r="D159" s="44">
        <f>IF(#REF!="","",#REF!)</f>
        <v/>
      </c>
      <c r="E159" s="43">
        <f>IF(#REF!="","",#REF!)</f>
        <v/>
      </c>
      <c r="F159" s="13" t="n"/>
      <c r="G159" s="14" t="n"/>
      <c r="H159" s="14" t="n"/>
      <c r="I159" s="13" t="n"/>
      <c r="J159" s="14" t="n"/>
      <c r="K159" s="14" t="n"/>
      <c r="L159" s="13" t="n"/>
      <c r="M159" s="14" t="n"/>
      <c r="N159" s="38" t="n"/>
      <c r="O159" s="13" t="n"/>
      <c r="P159" s="14" t="n"/>
      <c r="Q159" s="38" t="n"/>
      <c r="R159" s="13" t="n"/>
      <c r="S159" s="14" t="n"/>
      <c r="T159" s="14" t="n"/>
      <c r="U159" s="103" t="n"/>
    </row>
    <row r="160" outlineLevel="1" ht="13" customHeight="1">
      <c r="A160" s="43">
        <f>IF(#REF!="","",#REF!)</f>
        <v/>
      </c>
      <c r="B160" s="43">
        <f>IF(#REF!="","",#REF!)</f>
        <v/>
      </c>
      <c r="C160" s="43">
        <f>IF(#REF!="","",#REF!)</f>
        <v/>
      </c>
      <c r="D160" s="44">
        <f>IF(#REF!="","",#REF!)</f>
        <v/>
      </c>
      <c r="E160" s="43">
        <f>IF(#REF!="","",#REF!)</f>
        <v/>
      </c>
      <c r="F160" s="13" t="n"/>
      <c r="G160" s="14" t="n"/>
      <c r="H160" s="14" t="n"/>
      <c r="I160" s="13" t="n"/>
      <c r="J160" s="14" t="n"/>
      <c r="K160" s="14" t="n"/>
      <c r="L160" s="13" t="n"/>
      <c r="M160" s="14" t="n"/>
      <c r="N160" s="38" t="n"/>
      <c r="O160" s="13" t="n"/>
      <c r="P160" s="14" t="n"/>
      <c r="Q160" s="38" t="n"/>
      <c r="R160" s="13" t="n"/>
      <c r="S160" s="14" t="n"/>
      <c r="T160" s="14" t="n"/>
      <c r="U160" s="103" t="n"/>
    </row>
    <row r="161" outlineLevel="1" ht="13" customHeight="1">
      <c r="A161" s="43">
        <f>IF(#REF!="","",#REF!)</f>
        <v/>
      </c>
      <c r="B161" s="43">
        <f>IF(#REF!="","",#REF!)</f>
        <v/>
      </c>
      <c r="C161" s="43">
        <f>IF(#REF!="","",#REF!)</f>
        <v/>
      </c>
      <c r="D161" s="44">
        <f>IF(#REF!="","",#REF!)</f>
        <v/>
      </c>
      <c r="E161" s="43">
        <f>IF(#REF!="","",#REF!)</f>
        <v/>
      </c>
      <c r="F161" s="13" t="n"/>
      <c r="G161" s="14" t="n"/>
      <c r="H161" s="14" t="n"/>
      <c r="I161" s="13" t="n"/>
      <c r="J161" s="14" t="n"/>
      <c r="K161" s="14" t="n"/>
      <c r="L161" s="13" t="n"/>
      <c r="M161" s="14" t="n"/>
      <c r="N161" s="38" t="n"/>
      <c r="O161" s="13" t="n"/>
      <c r="P161" s="14" t="n"/>
      <c r="Q161" s="38" t="n"/>
      <c r="R161" s="13" t="n"/>
      <c r="S161" s="14" t="n"/>
      <c r="T161" s="14" t="n"/>
      <c r="U161" s="103" t="n"/>
    </row>
    <row r="162" outlineLevel="1" ht="13" customHeight="1">
      <c r="A162" s="43">
        <f>IF(#REF!="","",#REF!)</f>
        <v/>
      </c>
      <c r="B162" s="43">
        <f>IF(#REF!="","",#REF!)</f>
        <v/>
      </c>
      <c r="C162" s="43">
        <f>IF(#REF!="","",#REF!)</f>
        <v/>
      </c>
      <c r="D162" s="44">
        <f>IF(#REF!="","",#REF!)</f>
        <v/>
      </c>
      <c r="E162" s="43">
        <f>IF(#REF!="","",#REF!)</f>
        <v/>
      </c>
      <c r="F162" s="13" t="n"/>
      <c r="G162" s="14" t="n"/>
      <c r="H162" s="14" t="n"/>
      <c r="I162" s="13" t="n"/>
      <c r="J162" s="14" t="n"/>
      <c r="K162" s="14" t="n"/>
      <c r="L162" s="13" t="n"/>
      <c r="M162" s="14" t="n"/>
      <c r="N162" s="38" t="n"/>
      <c r="O162" s="13" t="n"/>
      <c r="P162" s="14" t="n"/>
      <c r="Q162" s="38" t="n"/>
      <c r="R162" s="13" t="n"/>
      <c r="S162" s="14" t="n"/>
      <c r="T162" s="14" t="n"/>
      <c r="U162" s="103" t="n"/>
    </row>
    <row r="163" outlineLevel="1" ht="13" customHeight="1">
      <c r="A163" s="43">
        <f>IF(#REF!="","",#REF!)</f>
        <v/>
      </c>
      <c r="B163" s="43">
        <f>IF(#REF!="","",#REF!)</f>
        <v/>
      </c>
      <c r="C163" s="43">
        <f>IF(#REF!="","",#REF!)</f>
        <v/>
      </c>
      <c r="D163" s="44">
        <f>IF(#REF!="","",#REF!)</f>
        <v/>
      </c>
      <c r="E163" s="43">
        <f>IF(#REF!="","",#REF!)</f>
        <v/>
      </c>
      <c r="F163" s="13" t="n"/>
      <c r="G163" s="14" t="n"/>
      <c r="H163" s="14" t="n"/>
      <c r="I163" s="13" t="n"/>
      <c r="J163" s="14" t="n"/>
      <c r="K163" s="14" t="n"/>
      <c r="L163" s="13" t="n"/>
      <c r="M163" s="14" t="n"/>
      <c r="N163" s="38" t="n"/>
      <c r="O163" s="13" t="n"/>
      <c r="P163" s="14" t="n"/>
      <c r="Q163" s="38" t="n"/>
      <c r="R163" s="13" t="n"/>
      <c r="S163" s="14" t="n"/>
      <c r="T163" s="14" t="n"/>
      <c r="U163" s="103" t="n"/>
    </row>
    <row r="164" outlineLevel="1" ht="13" customHeight="1">
      <c r="A164" s="43">
        <f>IF(#REF!="","",#REF!)</f>
        <v/>
      </c>
      <c r="B164" s="43">
        <f>IF(#REF!="","",#REF!)</f>
        <v/>
      </c>
      <c r="C164" s="43">
        <f>IF(#REF!="","",#REF!)</f>
        <v/>
      </c>
      <c r="D164" s="44">
        <f>IF(#REF!="","",#REF!)</f>
        <v/>
      </c>
      <c r="E164" s="43">
        <f>IF(#REF!="","",#REF!)</f>
        <v/>
      </c>
      <c r="F164" s="13" t="n"/>
      <c r="G164" s="14" t="n"/>
      <c r="H164" s="14" t="n"/>
      <c r="I164" s="13" t="n"/>
      <c r="J164" s="14" t="n"/>
      <c r="K164" s="14" t="n"/>
      <c r="L164" s="13" t="n"/>
      <c r="M164" s="14" t="n"/>
      <c r="N164" s="38" t="n"/>
      <c r="O164" s="13" t="n"/>
      <c r="P164" s="14" t="n"/>
      <c r="Q164" s="38" t="n"/>
      <c r="R164" s="13" t="n"/>
      <c r="S164" s="14" t="n"/>
      <c r="T164" s="14" t="n"/>
      <c r="U164" s="103" t="n"/>
    </row>
    <row r="165" outlineLevel="1" ht="13" customHeight="1">
      <c r="A165" s="43">
        <f>IF(#REF!="","",#REF!)</f>
        <v/>
      </c>
      <c r="B165" s="43">
        <f>IF(#REF!="","",#REF!)</f>
        <v/>
      </c>
      <c r="C165" s="43">
        <f>IF(#REF!="","",#REF!)</f>
        <v/>
      </c>
      <c r="D165" s="44">
        <f>IF(#REF!="","",#REF!)</f>
        <v/>
      </c>
      <c r="E165" s="43">
        <f>IF(#REF!="","",#REF!)</f>
        <v/>
      </c>
      <c r="F165" s="13" t="n"/>
      <c r="G165" s="14" t="n"/>
      <c r="H165" s="14" t="n"/>
      <c r="I165" s="13" t="n"/>
      <c r="J165" s="14" t="n"/>
      <c r="K165" s="14" t="n"/>
      <c r="L165" s="13" t="n"/>
      <c r="M165" s="14" t="n"/>
      <c r="N165" s="38" t="n"/>
      <c r="O165" s="13" t="n"/>
      <c r="P165" s="14" t="n"/>
      <c r="Q165" s="38" t="n"/>
      <c r="R165" s="13" t="n"/>
      <c r="S165" s="14" t="n"/>
      <c r="T165" s="14" t="n"/>
      <c r="U165" s="103" t="n"/>
    </row>
    <row r="166" outlineLevel="1" ht="13" customHeight="1">
      <c r="A166" s="43">
        <f>IF(#REF!="","",#REF!)</f>
        <v/>
      </c>
      <c r="B166" s="43">
        <f>IF(#REF!="","",#REF!)</f>
        <v/>
      </c>
      <c r="C166" s="43">
        <f>IF(#REF!="","",#REF!)</f>
        <v/>
      </c>
      <c r="D166" s="44">
        <f>IF(#REF!="","",#REF!)</f>
        <v/>
      </c>
      <c r="E166" s="43">
        <f>IF(#REF!="","",#REF!)</f>
        <v/>
      </c>
      <c r="F166" s="13" t="n"/>
      <c r="G166" s="14" t="n"/>
      <c r="H166" s="14" t="n"/>
      <c r="I166" s="13" t="n"/>
      <c r="J166" s="14" t="n"/>
      <c r="K166" s="14" t="n"/>
      <c r="L166" s="13" t="n"/>
      <c r="M166" s="14" t="n"/>
      <c r="N166" s="38" t="n"/>
      <c r="O166" s="13" t="n"/>
      <c r="P166" s="14" t="n"/>
      <c r="Q166" s="38" t="n"/>
      <c r="R166" s="13" t="n"/>
      <c r="S166" s="14" t="n"/>
      <c r="T166" s="14" t="n"/>
      <c r="U166" s="103" t="n"/>
    </row>
    <row r="167" outlineLevel="1" ht="13" customHeight="1">
      <c r="A167" s="43">
        <f>IF(#REF!="","",#REF!)</f>
        <v/>
      </c>
      <c r="B167" s="43">
        <f>IF(#REF!="","",#REF!)</f>
        <v/>
      </c>
      <c r="C167" s="43">
        <f>IF(#REF!="","",#REF!)</f>
        <v/>
      </c>
      <c r="D167" s="44">
        <f>IF(#REF!="","",#REF!)</f>
        <v/>
      </c>
      <c r="E167" s="43">
        <f>IF(#REF!="","",#REF!)</f>
        <v/>
      </c>
      <c r="F167" s="13" t="n"/>
      <c r="G167" s="14" t="n"/>
      <c r="H167" s="14" t="n"/>
      <c r="I167" s="13" t="n"/>
      <c r="J167" s="14" t="n"/>
      <c r="K167" s="14" t="n"/>
      <c r="L167" s="13" t="n"/>
      <c r="M167" s="14" t="n"/>
      <c r="N167" s="38" t="n"/>
      <c r="O167" s="13" t="n"/>
      <c r="P167" s="14" t="n"/>
      <c r="Q167" s="38" t="n"/>
      <c r="R167" s="13" t="n"/>
      <c r="S167" s="14" t="n"/>
      <c r="T167" s="14" t="n"/>
      <c r="U167" s="103" t="n"/>
    </row>
    <row r="168" outlineLevel="1" ht="13" customHeight="1">
      <c r="A168" s="43">
        <f>IF(#REF!="","",#REF!)</f>
        <v/>
      </c>
      <c r="B168" s="43">
        <f>IF(#REF!="","",#REF!)</f>
        <v/>
      </c>
      <c r="C168" s="43">
        <f>IF(#REF!="","",#REF!)</f>
        <v/>
      </c>
      <c r="D168" s="44">
        <f>IF(#REF!="","",#REF!)</f>
        <v/>
      </c>
      <c r="E168" s="43">
        <f>IF(#REF!="","",#REF!)</f>
        <v/>
      </c>
      <c r="F168" s="13" t="n"/>
      <c r="G168" s="14" t="n"/>
      <c r="H168" s="14" t="n"/>
      <c r="I168" s="13" t="n"/>
      <c r="J168" s="14" t="n"/>
      <c r="K168" s="14" t="n"/>
      <c r="L168" s="13" t="n"/>
      <c r="M168" s="14" t="n"/>
      <c r="N168" s="38" t="n"/>
      <c r="O168" s="13" t="n"/>
      <c r="P168" s="14" t="n"/>
      <c r="Q168" s="38" t="n"/>
      <c r="R168" s="13" t="n"/>
      <c r="S168" s="14" t="n"/>
      <c r="T168" s="14" t="n"/>
      <c r="U168" s="103" t="n"/>
    </row>
    <row r="169" outlineLevel="1" ht="13" customHeight="1">
      <c r="A169" s="43">
        <f>IF(#REF!="","",#REF!)</f>
        <v/>
      </c>
      <c r="B169" s="43">
        <f>IF(#REF!="","",#REF!)</f>
        <v/>
      </c>
      <c r="C169" s="43">
        <f>IF(#REF!="","",#REF!)</f>
        <v/>
      </c>
      <c r="D169" s="44">
        <f>IF(#REF!="","",#REF!)</f>
        <v/>
      </c>
      <c r="E169" s="43">
        <f>IF(#REF!="","",#REF!)</f>
        <v/>
      </c>
      <c r="F169" s="13" t="n"/>
      <c r="G169" s="14" t="n"/>
      <c r="H169" s="14" t="n"/>
      <c r="I169" s="13" t="n"/>
      <c r="J169" s="14" t="n"/>
      <c r="K169" s="14" t="n"/>
      <c r="L169" s="13" t="n"/>
      <c r="M169" s="14" t="n"/>
      <c r="N169" s="38" t="n"/>
      <c r="O169" s="13" t="n"/>
      <c r="P169" s="14" t="n"/>
      <c r="Q169" s="38" t="n"/>
      <c r="R169" s="13" t="n"/>
      <c r="S169" s="14" t="n"/>
      <c r="T169" s="14" t="n"/>
      <c r="U169" s="103" t="n"/>
    </row>
    <row r="170" outlineLevel="1" ht="13" customHeight="1">
      <c r="A170" s="43">
        <f>IF(#REF!="","",#REF!)</f>
        <v/>
      </c>
      <c r="B170" s="43">
        <f>IF(#REF!="","",#REF!)</f>
        <v/>
      </c>
      <c r="C170" s="43">
        <f>IF(#REF!="","",#REF!)</f>
        <v/>
      </c>
      <c r="D170" s="44">
        <f>IF(#REF!="","",#REF!)</f>
        <v/>
      </c>
      <c r="E170" s="43">
        <f>IF(#REF!="","",#REF!)</f>
        <v/>
      </c>
      <c r="F170" s="13" t="n"/>
      <c r="G170" s="14" t="n"/>
      <c r="H170" s="14" t="n"/>
      <c r="I170" s="13" t="n"/>
      <c r="J170" s="14" t="n"/>
      <c r="K170" s="14" t="n"/>
      <c r="L170" s="13" t="n"/>
      <c r="M170" s="14" t="n"/>
      <c r="N170" s="38" t="n"/>
      <c r="O170" s="13" t="n"/>
      <c r="P170" s="14" t="n"/>
      <c r="Q170" s="38" t="n"/>
      <c r="R170" s="13" t="n"/>
      <c r="S170" s="14" t="n"/>
      <c r="T170" s="14" t="n"/>
      <c r="U170" s="103" t="n"/>
    </row>
    <row r="171" outlineLevel="1" ht="13" customHeight="1">
      <c r="A171" s="43">
        <f>IF(#REF!="","",#REF!)</f>
        <v/>
      </c>
      <c r="B171" s="43">
        <f>IF(#REF!="","",#REF!)</f>
        <v/>
      </c>
      <c r="C171" s="43">
        <f>IF(#REF!="","",#REF!)</f>
        <v/>
      </c>
      <c r="D171" s="44">
        <f>IF(#REF!="","",#REF!)</f>
        <v/>
      </c>
      <c r="E171" s="43">
        <f>IF(#REF!="","",#REF!)</f>
        <v/>
      </c>
      <c r="F171" s="13" t="n"/>
      <c r="G171" s="14" t="n"/>
      <c r="H171" s="14" t="n"/>
      <c r="I171" s="13" t="n"/>
      <c r="J171" s="14" t="n"/>
      <c r="K171" s="14" t="n"/>
      <c r="L171" s="13" t="n"/>
      <c r="M171" s="14" t="n"/>
      <c r="N171" s="38" t="n"/>
      <c r="O171" s="13" t="n"/>
      <c r="P171" s="14" t="n"/>
      <c r="Q171" s="38" t="n"/>
      <c r="R171" s="13" t="n"/>
      <c r="S171" s="14" t="n"/>
      <c r="T171" s="14" t="n"/>
      <c r="U171" s="103" t="n"/>
    </row>
    <row r="172" outlineLevel="1" ht="13" customHeight="1">
      <c r="A172" s="43">
        <f>IF(#REF!="","",#REF!)</f>
        <v/>
      </c>
      <c r="B172" s="43">
        <f>IF(#REF!="","",#REF!)</f>
        <v/>
      </c>
      <c r="C172" s="43">
        <f>IF(#REF!="","",#REF!)</f>
        <v/>
      </c>
      <c r="D172" s="44">
        <f>IF(#REF!="","",#REF!)</f>
        <v/>
      </c>
      <c r="E172" s="43">
        <f>IF(#REF!="","",#REF!)</f>
        <v/>
      </c>
      <c r="F172" s="13" t="n"/>
      <c r="G172" s="14" t="n"/>
      <c r="H172" s="14" t="n"/>
      <c r="I172" s="13" t="n"/>
      <c r="J172" s="14" t="n"/>
      <c r="K172" s="14" t="n"/>
      <c r="L172" s="13" t="n"/>
      <c r="M172" s="14" t="n"/>
      <c r="N172" s="38" t="n"/>
      <c r="O172" s="13" t="n"/>
      <c r="P172" s="14" t="n"/>
      <c r="Q172" s="38" t="n"/>
      <c r="R172" s="13" t="n"/>
      <c r="S172" s="14" t="n"/>
      <c r="T172" s="14" t="n"/>
      <c r="U172" s="103" t="n"/>
    </row>
    <row r="173" outlineLevel="1" ht="13" customHeight="1">
      <c r="A173" s="43">
        <f>IF(#REF!="","",#REF!)</f>
        <v/>
      </c>
      <c r="B173" s="43">
        <f>IF(#REF!="","",#REF!)</f>
        <v/>
      </c>
      <c r="C173" s="43">
        <f>IF(#REF!="","",#REF!)</f>
        <v/>
      </c>
      <c r="D173" s="44">
        <f>IF(#REF!="","",#REF!)</f>
        <v/>
      </c>
      <c r="E173" s="43">
        <f>IF(#REF!="","",#REF!)</f>
        <v/>
      </c>
      <c r="F173" s="13" t="n"/>
      <c r="G173" s="14" t="n"/>
      <c r="H173" s="14" t="n"/>
      <c r="I173" s="13" t="n"/>
      <c r="J173" s="14" t="n"/>
      <c r="K173" s="14" t="n"/>
      <c r="L173" s="13" t="n"/>
      <c r="M173" s="14" t="n"/>
      <c r="N173" s="38" t="n"/>
      <c r="O173" s="13" t="n"/>
      <c r="P173" s="14" t="n"/>
      <c r="Q173" s="38" t="n"/>
      <c r="R173" s="13" t="n"/>
      <c r="S173" s="14" t="n"/>
      <c r="T173" s="14" t="n"/>
      <c r="U173" s="103" t="n"/>
    </row>
    <row r="174" outlineLevel="1" ht="13" customHeight="1">
      <c r="A174" s="43">
        <f>IF(#REF!="","",#REF!)</f>
        <v/>
      </c>
      <c r="B174" s="43">
        <f>IF(#REF!="","",#REF!)</f>
        <v/>
      </c>
      <c r="C174" s="43">
        <f>IF(#REF!="","",#REF!)</f>
        <v/>
      </c>
      <c r="D174" s="44">
        <f>IF(#REF!="","",#REF!)</f>
        <v/>
      </c>
      <c r="E174" s="43">
        <f>IF(#REF!="","",#REF!)</f>
        <v/>
      </c>
      <c r="F174" s="13" t="n"/>
      <c r="G174" s="14" t="n"/>
      <c r="H174" s="14" t="n"/>
      <c r="I174" s="13" t="n"/>
      <c r="J174" s="14" t="n"/>
      <c r="K174" s="14" t="n"/>
      <c r="L174" s="13" t="n"/>
      <c r="M174" s="14" t="n"/>
      <c r="N174" s="38" t="n"/>
      <c r="O174" s="13" t="n"/>
      <c r="P174" s="14" t="n"/>
      <c r="Q174" s="38" t="n"/>
      <c r="R174" s="13" t="n"/>
      <c r="S174" s="14" t="n"/>
      <c r="T174" s="14" t="n"/>
      <c r="U174" s="103" t="n"/>
    </row>
    <row r="175" outlineLevel="1" ht="13" customHeight="1">
      <c r="A175" s="43">
        <f>IF(#REF!="","",#REF!)</f>
        <v/>
      </c>
      <c r="B175" s="43">
        <f>IF(#REF!="","",#REF!)</f>
        <v/>
      </c>
      <c r="C175" s="43">
        <f>IF(#REF!="","",#REF!)</f>
        <v/>
      </c>
      <c r="D175" s="44">
        <f>IF(#REF!="","",#REF!)</f>
        <v/>
      </c>
      <c r="E175" s="43">
        <f>IF(#REF!="","",#REF!)</f>
        <v/>
      </c>
      <c r="F175" s="13" t="n"/>
      <c r="G175" s="14" t="n"/>
      <c r="H175" s="14" t="n"/>
      <c r="I175" s="13" t="n"/>
      <c r="J175" s="14" t="n"/>
      <c r="K175" s="14" t="n"/>
      <c r="L175" s="13" t="n"/>
      <c r="M175" s="14" t="n"/>
      <c r="N175" s="38" t="n"/>
      <c r="O175" s="13" t="n"/>
      <c r="P175" s="14" t="n"/>
      <c r="Q175" s="38" t="n"/>
      <c r="R175" s="13" t="n"/>
      <c r="S175" s="14" t="n"/>
      <c r="T175" s="14" t="n"/>
      <c r="U175" s="103" t="n"/>
    </row>
    <row r="176" outlineLevel="1" ht="13" customHeight="1">
      <c r="A176" s="43">
        <f>IF(#REF!="","",#REF!)</f>
        <v/>
      </c>
      <c r="B176" s="43">
        <f>IF(#REF!="","",#REF!)</f>
        <v/>
      </c>
      <c r="C176" s="43">
        <f>IF(#REF!="","",#REF!)</f>
        <v/>
      </c>
      <c r="D176" s="44">
        <f>IF(#REF!="","",#REF!)</f>
        <v/>
      </c>
      <c r="E176" s="43">
        <f>IF(#REF!="","",#REF!)</f>
        <v/>
      </c>
      <c r="F176" s="13" t="n"/>
      <c r="G176" s="14" t="n"/>
      <c r="H176" s="14" t="n"/>
      <c r="I176" s="13" t="n"/>
      <c r="J176" s="14" t="n"/>
      <c r="K176" s="14" t="n"/>
      <c r="L176" s="13" t="n"/>
      <c r="M176" s="14" t="n"/>
      <c r="N176" s="38" t="n"/>
      <c r="O176" s="13" t="n"/>
      <c r="P176" s="14" t="n"/>
      <c r="Q176" s="38" t="n"/>
      <c r="R176" s="13" t="n"/>
      <c r="S176" s="14" t="n"/>
      <c r="T176" s="14" t="n"/>
      <c r="U176" s="103" t="n"/>
    </row>
    <row r="177" outlineLevel="1" ht="13" customHeight="1">
      <c r="A177" s="43">
        <f>IF(#REF!="","",#REF!)</f>
        <v/>
      </c>
      <c r="B177" s="43">
        <f>IF(#REF!="","",#REF!)</f>
        <v/>
      </c>
      <c r="C177" s="43">
        <f>IF(#REF!="","",#REF!)</f>
        <v/>
      </c>
      <c r="D177" s="44">
        <f>IF(#REF!="","",#REF!)</f>
        <v/>
      </c>
      <c r="E177" s="43">
        <f>IF(#REF!="","",#REF!)</f>
        <v/>
      </c>
      <c r="F177" s="13" t="n"/>
      <c r="G177" s="14" t="n"/>
      <c r="H177" s="14" t="n"/>
      <c r="I177" s="13" t="n"/>
      <c r="J177" s="14" t="n"/>
      <c r="K177" s="14" t="n"/>
      <c r="L177" s="13" t="n"/>
      <c r="M177" s="14" t="n"/>
      <c r="N177" s="38" t="n"/>
      <c r="O177" s="13" t="n"/>
      <c r="P177" s="14" t="n"/>
      <c r="Q177" s="38" t="n"/>
      <c r="R177" s="13" t="n"/>
      <c r="S177" s="14" t="n"/>
      <c r="T177" s="14" t="n"/>
      <c r="U177" s="103" t="n"/>
    </row>
    <row r="178" outlineLevel="1" ht="13" customHeight="1">
      <c r="A178" s="43">
        <f>IF(#REF!="","",#REF!)</f>
        <v/>
      </c>
      <c r="B178" s="43">
        <f>IF(#REF!="","",#REF!)</f>
        <v/>
      </c>
      <c r="C178" s="43">
        <f>IF(#REF!="","",#REF!)</f>
        <v/>
      </c>
      <c r="D178" s="44">
        <f>IF(#REF!="","",#REF!)</f>
        <v/>
      </c>
      <c r="E178" s="43">
        <f>IF(#REF!="","",#REF!)</f>
        <v/>
      </c>
      <c r="F178" s="13" t="n"/>
      <c r="G178" s="14" t="n"/>
      <c r="H178" s="14" t="n"/>
      <c r="I178" s="13" t="n"/>
      <c r="J178" s="14" t="n"/>
      <c r="K178" s="14" t="n"/>
      <c r="L178" s="13" t="n"/>
      <c r="M178" s="14" t="n"/>
      <c r="N178" s="38" t="n"/>
      <c r="O178" s="13" t="n"/>
      <c r="P178" s="14" t="n"/>
      <c r="Q178" s="38" t="n"/>
      <c r="R178" s="13" t="n"/>
      <c r="S178" s="14" t="n"/>
      <c r="T178" s="14" t="n"/>
      <c r="U178" s="103" t="n"/>
    </row>
    <row r="179" outlineLevel="1" ht="13" customHeight="1">
      <c r="A179" s="43">
        <f>IF(#REF!="","",#REF!)</f>
        <v/>
      </c>
      <c r="B179" s="43">
        <f>IF(#REF!="","",#REF!)</f>
        <v/>
      </c>
      <c r="C179" s="43">
        <f>IF(#REF!="","",#REF!)</f>
        <v/>
      </c>
      <c r="D179" s="44">
        <f>IF(#REF!="","",#REF!)</f>
        <v/>
      </c>
      <c r="E179" s="43">
        <f>IF(#REF!="","",#REF!)</f>
        <v/>
      </c>
      <c r="F179" s="13" t="n"/>
      <c r="G179" s="14" t="n"/>
      <c r="H179" s="14" t="n"/>
      <c r="I179" s="13" t="n"/>
      <c r="J179" s="14" t="n"/>
      <c r="K179" s="14" t="n"/>
      <c r="L179" s="13" t="n"/>
      <c r="M179" s="14" t="n"/>
      <c r="N179" s="38" t="n"/>
      <c r="O179" s="13" t="n"/>
      <c r="P179" s="14" t="n"/>
      <c r="Q179" s="38" t="n"/>
      <c r="R179" s="13" t="n"/>
      <c r="S179" s="14" t="n"/>
      <c r="T179" s="14" t="n"/>
      <c r="U179" s="103" t="n"/>
    </row>
    <row r="180" outlineLevel="1" ht="13" customHeight="1">
      <c r="A180" s="43">
        <f>IF(#REF!="","",#REF!)</f>
        <v/>
      </c>
      <c r="B180" s="43">
        <f>IF(#REF!="","",#REF!)</f>
        <v/>
      </c>
      <c r="C180" s="43">
        <f>IF(#REF!="","",#REF!)</f>
        <v/>
      </c>
      <c r="D180" s="44">
        <f>IF(#REF!="","",#REF!)</f>
        <v/>
      </c>
      <c r="E180" s="43">
        <f>IF(#REF!="","",#REF!)</f>
        <v/>
      </c>
      <c r="F180" s="13" t="n"/>
      <c r="G180" s="14" t="n"/>
      <c r="H180" s="14" t="n"/>
      <c r="I180" s="13" t="n"/>
      <c r="J180" s="14" t="n"/>
      <c r="K180" s="14" t="n"/>
      <c r="L180" s="13" t="n"/>
      <c r="M180" s="14" t="n"/>
      <c r="N180" s="38" t="n"/>
      <c r="O180" s="13" t="n"/>
      <c r="P180" s="14" t="n"/>
      <c r="Q180" s="38" t="n"/>
      <c r="R180" s="13" t="n"/>
      <c r="S180" s="14" t="n"/>
      <c r="T180" s="14" t="n"/>
      <c r="U180" s="103" t="n"/>
    </row>
    <row r="181" outlineLevel="1" ht="13" customHeight="1">
      <c r="A181" s="43">
        <f>IF(#REF!="","",#REF!)</f>
        <v/>
      </c>
      <c r="B181" s="43">
        <f>IF(#REF!="","",#REF!)</f>
        <v/>
      </c>
      <c r="C181" s="43">
        <f>IF(#REF!="","",#REF!)</f>
        <v/>
      </c>
      <c r="D181" s="44">
        <f>IF(#REF!="","",#REF!)</f>
        <v/>
      </c>
      <c r="E181" s="43">
        <f>IF(#REF!="","",#REF!)</f>
        <v/>
      </c>
      <c r="F181" s="13" t="n"/>
      <c r="G181" s="14" t="n"/>
      <c r="H181" s="14" t="n"/>
      <c r="I181" s="13" t="n"/>
      <c r="J181" s="14" t="n"/>
      <c r="K181" s="14" t="n"/>
      <c r="L181" s="13" t="n"/>
      <c r="M181" s="14" t="n"/>
      <c r="N181" s="38" t="n"/>
      <c r="O181" s="13" t="n"/>
      <c r="P181" s="14" t="n"/>
      <c r="Q181" s="38" t="n"/>
      <c r="R181" s="13" t="n"/>
      <c r="S181" s="14" t="n"/>
      <c r="T181" s="14" t="n"/>
      <c r="U181" s="103" t="n"/>
    </row>
    <row r="182" outlineLevel="1" ht="13" customHeight="1">
      <c r="A182" s="43">
        <f>IF(#REF!="","",#REF!)</f>
        <v/>
      </c>
      <c r="B182" s="43">
        <f>IF(#REF!="","",#REF!)</f>
        <v/>
      </c>
      <c r="C182" s="43">
        <f>IF(#REF!="","",#REF!)</f>
        <v/>
      </c>
      <c r="D182" s="44">
        <f>IF(#REF!="","",#REF!)</f>
        <v/>
      </c>
      <c r="E182" s="43">
        <f>IF(#REF!="","",#REF!)</f>
        <v/>
      </c>
      <c r="F182" s="13" t="n"/>
      <c r="G182" s="14" t="n"/>
      <c r="H182" s="14" t="n"/>
      <c r="I182" s="13" t="n"/>
      <c r="J182" s="14" t="n"/>
      <c r="K182" s="14" t="n"/>
      <c r="L182" s="13" t="n"/>
      <c r="M182" s="14" t="n"/>
      <c r="N182" s="38" t="n"/>
      <c r="O182" s="13" t="n"/>
      <c r="P182" s="14" t="n"/>
      <c r="Q182" s="38" t="n"/>
      <c r="R182" s="13" t="n"/>
      <c r="S182" s="14" t="n"/>
      <c r="T182" s="14" t="n"/>
      <c r="U182" s="103" t="n"/>
    </row>
    <row r="183" outlineLevel="1" ht="13" customHeight="1">
      <c r="A183" s="43">
        <f>IF(#REF!="","",#REF!)</f>
        <v/>
      </c>
      <c r="B183" s="43">
        <f>IF(#REF!="","",#REF!)</f>
        <v/>
      </c>
      <c r="C183" s="43">
        <f>IF(#REF!="","",#REF!)</f>
        <v/>
      </c>
      <c r="D183" s="44">
        <f>IF(#REF!="","",#REF!)</f>
        <v/>
      </c>
      <c r="E183" s="43">
        <f>IF(#REF!="","",#REF!)</f>
        <v/>
      </c>
      <c r="F183" s="13" t="n"/>
      <c r="G183" s="14" t="n"/>
      <c r="H183" s="14" t="n"/>
      <c r="I183" s="13" t="n"/>
      <c r="J183" s="14" t="n"/>
      <c r="K183" s="14" t="n"/>
      <c r="L183" s="13" t="n"/>
      <c r="M183" s="14" t="n"/>
      <c r="N183" s="38" t="n"/>
      <c r="O183" s="13" t="n"/>
      <c r="P183" s="14" t="n"/>
      <c r="Q183" s="38" t="n"/>
      <c r="R183" s="13" t="n"/>
      <c r="S183" s="14" t="n"/>
      <c r="T183" s="14" t="n"/>
      <c r="U183" s="103" t="n"/>
    </row>
    <row r="184" outlineLevel="1" ht="13" customHeight="1">
      <c r="A184" s="43">
        <f>IF(#REF!="","",#REF!)</f>
        <v/>
      </c>
      <c r="B184" s="43">
        <f>IF(#REF!="","",#REF!)</f>
        <v/>
      </c>
      <c r="C184" s="43">
        <f>IF(#REF!="","",#REF!)</f>
        <v/>
      </c>
      <c r="D184" s="44">
        <f>IF(#REF!="","",#REF!)</f>
        <v/>
      </c>
      <c r="E184" s="43">
        <f>IF(#REF!="","",#REF!)</f>
        <v/>
      </c>
      <c r="F184" s="13" t="n"/>
      <c r="G184" s="14" t="n"/>
      <c r="H184" s="14" t="n"/>
      <c r="I184" s="13" t="n"/>
      <c r="J184" s="14" t="n"/>
      <c r="K184" s="14" t="n"/>
      <c r="L184" s="13" t="n"/>
      <c r="M184" s="14" t="n"/>
      <c r="N184" s="38" t="n"/>
      <c r="O184" s="13" t="n"/>
      <c r="P184" s="14" t="n"/>
      <c r="Q184" s="38" t="n"/>
      <c r="R184" s="13" t="n"/>
      <c r="S184" s="14" t="n"/>
      <c r="T184" s="14" t="n"/>
      <c r="U184" s="103" t="n"/>
    </row>
    <row r="185" outlineLevel="1" ht="13" customHeight="1">
      <c r="A185" s="43">
        <f>IF(#REF!="","",#REF!)</f>
        <v/>
      </c>
      <c r="B185" s="43">
        <f>IF(#REF!="","",#REF!)</f>
        <v/>
      </c>
      <c r="C185" s="43">
        <f>IF(#REF!="","",#REF!)</f>
        <v/>
      </c>
      <c r="D185" s="44">
        <f>IF(#REF!="","",#REF!)</f>
        <v/>
      </c>
      <c r="E185" s="43">
        <f>IF(#REF!="","",#REF!)</f>
        <v/>
      </c>
      <c r="F185" s="13" t="n"/>
      <c r="G185" s="14" t="n"/>
      <c r="H185" s="14" t="n"/>
      <c r="I185" s="13" t="n"/>
      <c r="J185" s="14" t="n"/>
      <c r="K185" s="14" t="n"/>
      <c r="L185" s="13" t="n"/>
      <c r="M185" s="14" t="n"/>
      <c r="N185" s="38" t="n"/>
      <c r="O185" s="13" t="n"/>
      <c r="P185" s="14" t="n"/>
      <c r="Q185" s="38" t="n"/>
      <c r="R185" s="13" t="n"/>
      <c r="S185" s="14" t="n"/>
      <c r="T185" s="14" t="n"/>
      <c r="U185" s="103" t="n"/>
    </row>
    <row r="186" outlineLevel="1" ht="13" customHeight="1">
      <c r="A186" s="43">
        <f>IF(#REF!="","",#REF!)</f>
        <v/>
      </c>
      <c r="B186" s="43">
        <f>IF(#REF!="","",#REF!)</f>
        <v/>
      </c>
      <c r="C186" s="43">
        <f>IF(#REF!="","",#REF!)</f>
        <v/>
      </c>
      <c r="D186" s="44">
        <f>IF(#REF!="","",#REF!)</f>
        <v/>
      </c>
      <c r="E186" s="43">
        <f>IF(#REF!="","",#REF!)</f>
        <v/>
      </c>
      <c r="F186" s="13" t="n"/>
      <c r="G186" s="14" t="n"/>
      <c r="H186" s="14" t="n"/>
      <c r="I186" s="13" t="n"/>
      <c r="J186" s="14" t="n"/>
      <c r="K186" s="14" t="n"/>
      <c r="L186" s="13" t="n"/>
      <c r="M186" s="14" t="n"/>
      <c r="N186" s="38" t="n"/>
      <c r="O186" s="13" t="n"/>
      <c r="P186" s="14" t="n"/>
      <c r="Q186" s="38" t="n"/>
      <c r="R186" s="13" t="n"/>
      <c r="S186" s="14" t="n"/>
      <c r="T186" s="14" t="n"/>
      <c r="U186" s="103" t="n"/>
    </row>
    <row r="187" outlineLevel="1" ht="13" customHeight="1">
      <c r="A187" s="43">
        <f>IF(#REF!="","",#REF!)</f>
        <v/>
      </c>
      <c r="B187" s="43">
        <f>IF(#REF!="","",#REF!)</f>
        <v/>
      </c>
      <c r="C187" s="43">
        <f>IF(#REF!="","",#REF!)</f>
        <v/>
      </c>
      <c r="D187" s="44">
        <f>IF(#REF!="","",#REF!)</f>
        <v/>
      </c>
      <c r="E187" s="43">
        <f>IF(#REF!="","",#REF!)</f>
        <v/>
      </c>
      <c r="F187" s="13" t="n"/>
      <c r="G187" s="14" t="n"/>
      <c r="H187" s="14" t="n"/>
      <c r="I187" s="13" t="n"/>
      <c r="J187" s="14" t="n"/>
      <c r="K187" s="14" t="n"/>
      <c r="L187" s="13" t="n"/>
      <c r="M187" s="14" t="n"/>
      <c r="N187" s="38" t="n"/>
      <c r="O187" s="13" t="n"/>
      <c r="P187" s="14" t="n"/>
      <c r="Q187" s="38" t="n"/>
      <c r="R187" s="13" t="n"/>
      <c r="S187" s="14" t="n"/>
      <c r="T187" s="14" t="n"/>
      <c r="U187" s="103" t="n"/>
    </row>
    <row r="188" outlineLevel="1" ht="13" customHeight="1">
      <c r="A188" s="43">
        <f>IF(#REF!="","",#REF!)</f>
        <v/>
      </c>
      <c r="B188" s="43">
        <f>IF(#REF!="","",#REF!)</f>
        <v/>
      </c>
      <c r="C188" s="43">
        <f>IF(#REF!="","",#REF!)</f>
        <v/>
      </c>
      <c r="D188" s="44">
        <f>IF(#REF!="","",#REF!)</f>
        <v/>
      </c>
      <c r="E188" s="43">
        <f>IF(#REF!="","",#REF!)</f>
        <v/>
      </c>
      <c r="F188" s="13" t="n"/>
      <c r="G188" s="14" t="n"/>
      <c r="H188" s="14" t="n"/>
      <c r="I188" s="13" t="n"/>
      <c r="J188" s="14" t="n"/>
      <c r="K188" s="14" t="n"/>
      <c r="L188" s="13" t="n"/>
      <c r="M188" s="14" t="n"/>
      <c r="N188" s="38" t="n"/>
      <c r="O188" s="13" t="n"/>
      <c r="P188" s="14" t="n"/>
      <c r="Q188" s="38" t="n"/>
      <c r="R188" s="13" t="n"/>
      <c r="S188" s="14" t="n"/>
      <c r="T188" s="14" t="n"/>
      <c r="U188" s="103" t="n"/>
    </row>
    <row r="189" outlineLevel="1" ht="13" customHeight="1">
      <c r="A189" s="43">
        <f>IF(#REF!="","",#REF!)</f>
        <v/>
      </c>
      <c r="B189" s="43">
        <f>IF(#REF!="","",#REF!)</f>
        <v/>
      </c>
      <c r="C189" s="43">
        <f>IF(#REF!="","",#REF!)</f>
        <v/>
      </c>
      <c r="D189" s="44">
        <f>IF(#REF!="","",#REF!)</f>
        <v/>
      </c>
      <c r="E189" s="43">
        <f>IF(#REF!="","",#REF!)</f>
        <v/>
      </c>
      <c r="F189" s="13" t="n"/>
      <c r="G189" s="14" t="n"/>
      <c r="H189" s="14" t="n"/>
      <c r="I189" s="13" t="n"/>
      <c r="J189" s="14" t="n"/>
      <c r="K189" s="14" t="n"/>
      <c r="L189" s="13" t="n"/>
      <c r="M189" s="14" t="n"/>
      <c r="N189" s="38" t="n"/>
      <c r="O189" s="13" t="n"/>
      <c r="P189" s="14" t="n"/>
      <c r="Q189" s="38" t="n"/>
      <c r="R189" s="13" t="n"/>
      <c r="S189" s="14" t="n"/>
      <c r="T189" s="14" t="n"/>
      <c r="U189" s="103" t="n"/>
    </row>
    <row r="190" outlineLevel="1" ht="13" customHeight="1">
      <c r="A190" s="43">
        <f>IF(#REF!="","",#REF!)</f>
        <v/>
      </c>
      <c r="B190" s="43">
        <f>IF(#REF!="","",#REF!)</f>
        <v/>
      </c>
      <c r="C190" s="43">
        <f>IF(#REF!="","",#REF!)</f>
        <v/>
      </c>
      <c r="D190" s="44">
        <f>IF(#REF!="","",#REF!)</f>
        <v/>
      </c>
      <c r="E190" s="43">
        <f>IF(#REF!="","",#REF!)</f>
        <v/>
      </c>
      <c r="F190" s="13" t="n"/>
      <c r="G190" s="14" t="n"/>
      <c r="H190" s="14" t="n"/>
      <c r="I190" s="13" t="n"/>
      <c r="J190" s="14" t="n"/>
      <c r="K190" s="14" t="n"/>
      <c r="L190" s="13" t="n"/>
      <c r="M190" s="14" t="n"/>
      <c r="N190" s="38" t="n"/>
      <c r="O190" s="13" t="n"/>
      <c r="P190" s="14" t="n"/>
      <c r="Q190" s="38" t="n"/>
      <c r="R190" s="13" t="n"/>
      <c r="S190" s="14" t="n"/>
      <c r="T190" s="14" t="n"/>
      <c r="U190" s="103" t="n"/>
    </row>
    <row r="191" outlineLevel="1" ht="13" customHeight="1">
      <c r="A191" s="43">
        <f>IF(#REF!="","",#REF!)</f>
        <v/>
      </c>
      <c r="B191" s="43">
        <f>IF(#REF!="","",#REF!)</f>
        <v/>
      </c>
      <c r="C191" s="43">
        <f>IF(#REF!="","",#REF!)</f>
        <v/>
      </c>
      <c r="D191" s="44">
        <f>IF(#REF!="","",#REF!)</f>
        <v/>
      </c>
      <c r="E191" s="43">
        <f>IF(#REF!="","",#REF!)</f>
        <v/>
      </c>
      <c r="F191" s="13" t="n"/>
      <c r="G191" s="14" t="n"/>
      <c r="H191" s="14" t="n"/>
      <c r="I191" s="13" t="n"/>
      <c r="J191" s="14" t="n"/>
      <c r="K191" s="14" t="n"/>
      <c r="L191" s="13" t="n"/>
      <c r="M191" s="14" t="n"/>
      <c r="N191" s="38" t="n"/>
      <c r="O191" s="13" t="n"/>
      <c r="P191" s="14" t="n"/>
      <c r="Q191" s="38" t="n"/>
      <c r="R191" s="13" t="n"/>
      <c r="S191" s="14" t="n"/>
      <c r="T191" s="14" t="n"/>
      <c r="U191" s="103" t="n"/>
    </row>
    <row r="192" outlineLevel="1" ht="13" customHeight="1">
      <c r="A192" s="43">
        <f>IF(#REF!="","",#REF!)</f>
        <v/>
      </c>
      <c r="B192" s="43">
        <f>IF(#REF!="","",#REF!)</f>
        <v/>
      </c>
      <c r="C192" s="43">
        <f>IF(#REF!="","",#REF!)</f>
        <v/>
      </c>
      <c r="D192" s="44">
        <f>IF(#REF!="","",#REF!)</f>
        <v/>
      </c>
      <c r="E192" s="43">
        <f>IF(#REF!="","",#REF!)</f>
        <v/>
      </c>
      <c r="F192" s="13" t="n"/>
      <c r="G192" s="14" t="n"/>
      <c r="H192" s="14" t="n"/>
      <c r="I192" s="13" t="n"/>
      <c r="J192" s="14" t="n"/>
      <c r="K192" s="14" t="n"/>
      <c r="L192" s="13" t="n"/>
      <c r="M192" s="14" t="n"/>
      <c r="N192" s="38" t="n"/>
      <c r="O192" s="13" t="n"/>
      <c r="P192" s="14" t="n"/>
      <c r="Q192" s="38" t="n"/>
      <c r="R192" s="13" t="n"/>
      <c r="S192" s="14" t="n"/>
      <c r="T192" s="14" t="n"/>
      <c r="U192" s="103" t="n"/>
    </row>
    <row r="193" outlineLevel="1" ht="13" customHeight="1">
      <c r="A193" s="43">
        <f>IF(#REF!="","",#REF!)</f>
        <v/>
      </c>
      <c r="B193" s="43">
        <f>IF(#REF!="","",#REF!)</f>
        <v/>
      </c>
      <c r="C193" s="43">
        <f>IF(#REF!="","",#REF!)</f>
        <v/>
      </c>
      <c r="D193" s="44">
        <f>IF(#REF!="","",#REF!)</f>
        <v/>
      </c>
      <c r="E193" s="43">
        <f>IF(#REF!="","",#REF!)</f>
        <v/>
      </c>
      <c r="F193" s="13" t="n"/>
      <c r="G193" s="14" t="n"/>
      <c r="H193" s="14" t="n"/>
      <c r="I193" s="13" t="n"/>
      <c r="J193" s="14" t="n"/>
      <c r="K193" s="14" t="n"/>
      <c r="L193" s="13" t="n"/>
      <c r="M193" s="14" t="n"/>
      <c r="N193" s="38" t="n"/>
      <c r="O193" s="13" t="n"/>
      <c r="P193" s="14" t="n"/>
      <c r="Q193" s="38" t="n"/>
      <c r="R193" s="13" t="n"/>
      <c r="S193" s="14" t="n"/>
      <c r="T193" s="14" t="n"/>
      <c r="U193" s="103" t="n"/>
    </row>
    <row r="194" outlineLevel="1" ht="13" customHeight="1">
      <c r="A194" s="43">
        <f>IF(#REF!="","",#REF!)</f>
        <v/>
      </c>
      <c r="B194" s="43">
        <f>IF(#REF!="","",#REF!)</f>
        <v/>
      </c>
      <c r="C194" s="43">
        <f>IF(#REF!="","",#REF!)</f>
        <v/>
      </c>
      <c r="D194" s="44">
        <f>IF(#REF!="","",#REF!)</f>
        <v/>
      </c>
      <c r="E194" s="43">
        <f>IF(#REF!="","",#REF!)</f>
        <v/>
      </c>
      <c r="F194" s="13" t="n"/>
      <c r="G194" s="14" t="n"/>
      <c r="H194" s="14" t="n"/>
      <c r="I194" s="13" t="n"/>
      <c r="J194" s="14" t="n"/>
      <c r="K194" s="14" t="n"/>
      <c r="L194" s="13" t="n"/>
      <c r="M194" s="14" t="n"/>
      <c r="N194" s="38" t="n"/>
      <c r="O194" s="13" t="n"/>
      <c r="P194" s="14" t="n"/>
      <c r="Q194" s="38" t="n"/>
      <c r="R194" s="13" t="n"/>
      <c r="S194" s="14" t="n"/>
      <c r="T194" s="14" t="n"/>
      <c r="U194" s="103" t="n"/>
    </row>
    <row r="195" outlineLevel="1" ht="13" customHeight="1">
      <c r="A195" s="43">
        <f>IF(#REF!="","",#REF!)</f>
        <v/>
      </c>
      <c r="B195" s="43">
        <f>IF(#REF!="","",#REF!)</f>
        <v/>
      </c>
      <c r="C195" s="43">
        <f>IF(#REF!="","",#REF!)</f>
        <v/>
      </c>
      <c r="D195" s="44">
        <f>IF(#REF!="","",#REF!)</f>
        <v/>
      </c>
      <c r="E195" s="43">
        <f>IF(#REF!="","",#REF!)</f>
        <v/>
      </c>
      <c r="F195" s="13" t="n"/>
      <c r="G195" s="14" t="n"/>
      <c r="H195" s="14" t="n"/>
      <c r="I195" s="13" t="n"/>
      <c r="J195" s="14" t="n"/>
      <c r="K195" s="14" t="n"/>
      <c r="L195" s="13" t="n"/>
      <c r="M195" s="14" t="n"/>
      <c r="N195" s="38" t="n"/>
      <c r="O195" s="13" t="n"/>
      <c r="P195" s="14" t="n"/>
      <c r="Q195" s="38" t="n"/>
      <c r="R195" s="13" t="n"/>
      <c r="S195" s="14" t="n"/>
      <c r="T195" s="14" t="n"/>
      <c r="U195" s="103" t="n"/>
    </row>
    <row r="196" outlineLevel="1" ht="13" customHeight="1">
      <c r="A196" s="43">
        <f>IF(#REF!="","",#REF!)</f>
        <v/>
      </c>
      <c r="B196" s="43">
        <f>IF(#REF!="","",#REF!)</f>
        <v/>
      </c>
      <c r="C196" s="43">
        <f>IF(#REF!="","",#REF!)</f>
        <v/>
      </c>
      <c r="D196" s="44">
        <f>IF(#REF!="","",#REF!)</f>
        <v/>
      </c>
      <c r="E196" s="43">
        <f>IF(#REF!="","",#REF!)</f>
        <v/>
      </c>
      <c r="F196" s="13" t="n"/>
      <c r="G196" s="14" t="n"/>
      <c r="H196" s="14" t="n"/>
      <c r="I196" s="13" t="n"/>
      <c r="J196" s="14" t="n"/>
      <c r="K196" s="14" t="n"/>
      <c r="L196" s="13" t="n"/>
      <c r="M196" s="14" t="n"/>
      <c r="N196" s="38" t="n"/>
      <c r="O196" s="13" t="n"/>
      <c r="P196" s="14" t="n"/>
      <c r="Q196" s="38" t="n"/>
      <c r="R196" s="13" t="n"/>
      <c r="S196" s="14" t="n"/>
      <c r="T196" s="14" t="n"/>
      <c r="U196" s="103" t="n"/>
    </row>
    <row r="197" outlineLevel="1" ht="13" customHeight="1">
      <c r="A197" s="43">
        <f>IF(#REF!="","",#REF!)</f>
        <v/>
      </c>
      <c r="B197" s="43">
        <f>IF(#REF!="","",#REF!)</f>
        <v/>
      </c>
      <c r="C197" s="43">
        <f>IF(#REF!="","",#REF!)</f>
        <v/>
      </c>
      <c r="D197" s="44">
        <f>IF(#REF!="","",#REF!)</f>
        <v/>
      </c>
      <c r="E197" s="43">
        <f>IF(#REF!="","",#REF!)</f>
        <v/>
      </c>
      <c r="F197" s="13" t="n"/>
      <c r="G197" s="14" t="n"/>
      <c r="H197" s="14" t="n"/>
      <c r="I197" s="13" t="n"/>
      <c r="J197" s="14" t="n"/>
      <c r="K197" s="14" t="n"/>
      <c r="L197" s="13" t="n"/>
      <c r="M197" s="14" t="n"/>
      <c r="N197" s="38" t="n"/>
      <c r="O197" s="13" t="n"/>
      <c r="P197" s="14" t="n"/>
      <c r="Q197" s="38" t="n"/>
      <c r="R197" s="13" t="n"/>
      <c r="S197" s="14" t="n"/>
      <c r="T197" s="14" t="n"/>
      <c r="U197" s="103" t="n"/>
    </row>
    <row r="198" outlineLevel="1" ht="13" customHeight="1">
      <c r="A198" s="43">
        <f>IF(#REF!="","",#REF!)</f>
        <v/>
      </c>
      <c r="B198" s="43">
        <f>IF(#REF!="","",#REF!)</f>
        <v/>
      </c>
      <c r="C198" s="43">
        <f>IF(#REF!="","",#REF!)</f>
        <v/>
      </c>
      <c r="D198" s="44">
        <f>IF(#REF!="","",#REF!)</f>
        <v/>
      </c>
      <c r="E198" s="43">
        <f>IF(#REF!="","",#REF!)</f>
        <v/>
      </c>
      <c r="F198" s="13" t="n"/>
      <c r="G198" s="14" t="n"/>
      <c r="H198" s="14" t="n"/>
      <c r="I198" s="13" t="n"/>
      <c r="J198" s="14" t="n"/>
      <c r="K198" s="14" t="n"/>
      <c r="L198" s="13" t="n"/>
      <c r="M198" s="14" t="n"/>
      <c r="N198" s="38" t="n"/>
      <c r="O198" s="13" t="n"/>
      <c r="P198" s="14" t="n"/>
      <c r="Q198" s="38" t="n"/>
      <c r="R198" s="13" t="n"/>
      <c r="S198" s="14" t="n"/>
      <c r="T198" s="14" t="n"/>
      <c r="U198" s="103" t="n"/>
    </row>
    <row r="199" outlineLevel="1" ht="13" customHeight="1">
      <c r="A199" s="43">
        <f>IF(#REF!="","",#REF!)</f>
        <v/>
      </c>
      <c r="B199" s="43">
        <f>IF(#REF!="","",#REF!)</f>
        <v/>
      </c>
      <c r="C199" s="43">
        <f>IF(#REF!="","",#REF!)</f>
        <v/>
      </c>
      <c r="D199" s="44">
        <f>IF(#REF!="","",#REF!)</f>
        <v/>
      </c>
      <c r="E199" s="43">
        <f>IF(#REF!="","",#REF!)</f>
        <v/>
      </c>
      <c r="F199" s="13" t="n"/>
      <c r="G199" s="14" t="n"/>
      <c r="H199" s="14" t="n"/>
      <c r="I199" s="13" t="n"/>
      <c r="J199" s="14" t="n"/>
      <c r="K199" s="14" t="n"/>
      <c r="L199" s="13" t="n"/>
      <c r="M199" s="14" t="n"/>
      <c r="N199" s="38" t="n"/>
      <c r="O199" s="13" t="n"/>
      <c r="P199" s="14" t="n"/>
      <c r="Q199" s="38" t="n"/>
      <c r="R199" s="13" t="n"/>
      <c r="S199" s="14" t="n"/>
      <c r="T199" s="14" t="n"/>
      <c r="U199" s="103" t="n"/>
    </row>
    <row r="200" outlineLevel="1" ht="13" customHeight="1">
      <c r="A200" s="43">
        <f>IF(#REF!="","",#REF!)</f>
        <v/>
      </c>
      <c r="B200" s="43">
        <f>IF(#REF!="","",#REF!)</f>
        <v/>
      </c>
      <c r="C200" s="43">
        <f>IF(#REF!="","",#REF!)</f>
        <v/>
      </c>
      <c r="D200" s="44">
        <f>IF(#REF!="","",#REF!)</f>
        <v/>
      </c>
      <c r="E200" s="43">
        <f>IF(#REF!="","",#REF!)</f>
        <v/>
      </c>
      <c r="F200" s="13" t="n"/>
      <c r="G200" s="14" t="n"/>
      <c r="H200" s="14" t="n"/>
      <c r="I200" s="13" t="n"/>
      <c r="J200" s="14" t="n"/>
      <c r="K200" s="14" t="n"/>
      <c r="L200" s="13" t="n"/>
      <c r="M200" s="14" t="n"/>
      <c r="N200" s="38" t="n"/>
      <c r="O200" s="13" t="n"/>
      <c r="P200" s="14" t="n"/>
      <c r="Q200" s="38" t="n"/>
      <c r="R200" s="13" t="n"/>
      <c r="S200" s="14" t="n"/>
      <c r="T200" s="14" t="n"/>
      <c r="U200" s="103" t="n"/>
    </row>
    <row r="201" outlineLevel="1" ht="13" customHeight="1">
      <c r="A201" s="43">
        <f>IF(#REF!="","",#REF!)</f>
        <v/>
      </c>
      <c r="B201" s="43">
        <f>IF(#REF!="","",#REF!)</f>
        <v/>
      </c>
      <c r="C201" s="43">
        <f>IF(#REF!="","",#REF!)</f>
        <v/>
      </c>
      <c r="D201" s="44">
        <f>IF(#REF!="","",#REF!)</f>
        <v/>
      </c>
      <c r="E201" s="43">
        <f>IF(#REF!="","",#REF!)</f>
        <v/>
      </c>
      <c r="F201" s="13" t="n"/>
      <c r="G201" s="14" t="n"/>
      <c r="H201" s="14" t="n"/>
      <c r="I201" s="13" t="n"/>
      <c r="J201" s="14" t="n"/>
      <c r="K201" s="14" t="n"/>
      <c r="L201" s="13" t="n"/>
      <c r="M201" s="14" t="n"/>
      <c r="N201" s="38" t="n"/>
      <c r="O201" s="13" t="n"/>
      <c r="P201" s="14" t="n"/>
      <c r="Q201" s="38" t="n"/>
      <c r="R201" s="13" t="n"/>
      <c r="S201" s="14" t="n"/>
      <c r="T201" s="14" t="n"/>
      <c r="U201" s="103" t="n"/>
    </row>
    <row r="202" outlineLevel="1" ht="13" customHeight="1">
      <c r="A202" s="43">
        <f>IF(#REF!="","",#REF!)</f>
        <v/>
      </c>
      <c r="B202" s="43">
        <f>IF(#REF!="","",#REF!)</f>
        <v/>
      </c>
      <c r="C202" s="43">
        <f>IF(#REF!="","",#REF!)</f>
        <v/>
      </c>
      <c r="D202" s="44">
        <f>IF(#REF!="","",#REF!)</f>
        <v/>
      </c>
      <c r="E202" s="43">
        <f>IF(#REF!="","",#REF!)</f>
        <v/>
      </c>
      <c r="F202" s="13" t="n"/>
      <c r="G202" s="14" t="n"/>
      <c r="H202" s="14" t="n"/>
      <c r="I202" s="13" t="n"/>
      <c r="J202" s="14" t="n"/>
      <c r="K202" s="14" t="n"/>
      <c r="L202" s="13" t="n"/>
      <c r="M202" s="14" t="n"/>
      <c r="N202" s="38" t="n"/>
      <c r="O202" s="13" t="n"/>
      <c r="P202" s="14" t="n"/>
      <c r="Q202" s="38" t="n"/>
      <c r="R202" s="13" t="n"/>
      <c r="S202" s="14" t="n"/>
      <c r="T202" s="14" t="n"/>
      <c r="U202" s="103" t="n"/>
    </row>
    <row r="203" outlineLevel="1" ht="13" customHeight="1">
      <c r="A203" s="43">
        <f>IF(#REF!="","",#REF!)</f>
        <v/>
      </c>
      <c r="B203" s="43">
        <f>IF(#REF!="","",#REF!)</f>
        <v/>
      </c>
      <c r="C203" s="43">
        <f>IF(#REF!="","",#REF!)</f>
        <v/>
      </c>
      <c r="D203" s="44">
        <f>IF(#REF!="","",#REF!)</f>
        <v/>
      </c>
      <c r="E203" s="43">
        <f>IF(#REF!="","",#REF!)</f>
        <v/>
      </c>
      <c r="F203" s="13" t="n"/>
      <c r="G203" s="14" t="n"/>
      <c r="H203" s="14" t="n"/>
      <c r="I203" s="13" t="n"/>
      <c r="J203" s="14" t="n"/>
      <c r="K203" s="14" t="n"/>
      <c r="L203" s="13" t="n"/>
      <c r="M203" s="14" t="n"/>
      <c r="N203" s="38" t="n"/>
      <c r="O203" s="13" t="n"/>
      <c r="P203" s="14" t="n"/>
      <c r="Q203" s="38" t="n"/>
      <c r="R203" s="13" t="n"/>
      <c r="S203" s="14" t="n"/>
      <c r="T203" s="14" t="n"/>
      <c r="U203" s="103" t="n"/>
    </row>
    <row r="204" outlineLevel="1" ht="13" customHeight="1">
      <c r="A204" s="43">
        <f>IF(#REF!="","",#REF!)</f>
        <v/>
      </c>
      <c r="B204" s="43">
        <f>IF(#REF!="","",#REF!)</f>
        <v/>
      </c>
      <c r="C204" s="43">
        <f>IF(#REF!="","",#REF!)</f>
        <v/>
      </c>
      <c r="D204" s="44">
        <f>IF(#REF!="","",#REF!)</f>
        <v/>
      </c>
      <c r="E204" s="43">
        <f>IF(#REF!="","",#REF!)</f>
        <v/>
      </c>
      <c r="F204" s="13" t="n"/>
      <c r="G204" s="14" t="n"/>
      <c r="H204" s="14" t="n"/>
      <c r="I204" s="13" t="n"/>
      <c r="J204" s="14" t="n"/>
      <c r="K204" s="14" t="n"/>
      <c r="L204" s="13" t="n"/>
      <c r="M204" s="14" t="n"/>
      <c r="N204" s="38" t="n"/>
      <c r="O204" s="13" t="n"/>
      <c r="P204" s="14" t="n"/>
      <c r="Q204" s="38" t="n"/>
      <c r="R204" s="13" t="n"/>
      <c r="S204" s="14" t="n"/>
      <c r="T204" s="14" t="n"/>
      <c r="U204" s="103" t="n"/>
    </row>
    <row r="205" outlineLevel="1" ht="13" customHeight="1">
      <c r="A205" s="43">
        <f>IF(#REF!="","",#REF!)</f>
        <v/>
      </c>
      <c r="B205" s="43">
        <f>IF(#REF!="","",#REF!)</f>
        <v/>
      </c>
      <c r="C205" s="43">
        <f>IF(#REF!="","",#REF!)</f>
        <v/>
      </c>
      <c r="D205" s="44">
        <f>IF(#REF!="","",#REF!)</f>
        <v/>
      </c>
      <c r="E205" s="43">
        <f>IF(#REF!="","",#REF!)</f>
        <v/>
      </c>
      <c r="F205" s="13" t="n"/>
      <c r="G205" s="14" t="n"/>
      <c r="H205" s="14" t="n"/>
      <c r="I205" s="13" t="n"/>
      <c r="J205" s="14" t="n"/>
      <c r="K205" s="14" t="n"/>
      <c r="L205" s="13" t="n"/>
      <c r="M205" s="14" t="n"/>
      <c r="N205" s="38" t="n"/>
      <c r="O205" s="13" t="n"/>
      <c r="P205" s="14" t="n"/>
      <c r="Q205" s="38" t="n"/>
      <c r="R205" s="13" t="n"/>
      <c r="S205" s="14" t="n"/>
      <c r="T205" s="14" t="n"/>
      <c r="U205" s="103" t="n"/>
    </row>
    <row r="206" outlineLevel="1" ht="13" customHeight="1">
      <c r="A206" s="43">
        <f>IF(#REF!="","",#REF!)</f>
        <v/>
      </c>
      <c r="B206" s="43">
        <f>IF(#REF!="","",#REF!)</f>
        <v/>
      </c>
      <c r="C206" s="43">
        <f>IF(#REF!="","",#REF!)</f>
        <v/>
      </c>
      <c r="D206" s="44">
        <f>IF(#REF!="","",#REF!)</f>
        <v/>
      </c>
      <c r="E206" s="43">
        <f>IF(#REF!="","",#REF!)</f>
        <v/>
      </c>
      <c r="F206" s="13" t="n"/>
      <c r="G206" s="14" t="n"/>
      <c r="H206" s="14" t="n"/>
      <c r="I206" s="13" t="n"/>
      <c r="J206" s="14" t="n"/>
      <c r="K206" s="14" t="n"/>
      <c r="L206" s="13" t="n"/>
      <c r="M206" s="14" t="n"/>
      <c r="N206" s="38" t="n"/>
      <c r="O206" s="13" t="n"/>
      <c r="P206" s="14" t="n"/>
      <c r="Q206" s="38" t="n"/>
      <c r="R206" s="13" t="n"/>
      <c r="S206" s="14" t="n"/>
      <c r="T206" s="14" t="n"/>
      <c r="U206" s="103" t="n"/>
    </row>
    <row r="207" outlineLevel="1" ht="13" customHeight="1">
      <c r="A207" s="43">
        <f>IF(#REF!="","",#REF!)</f>
        <v/>
      </c>
      <c r="B207" s="43">
        <f>IF(#REF!="","",#REF!)</f>
        <v/>
      </c>
      <c r="C207" s="43">
        <f>IF(#REF!="","",#REF!)</f>
        <v/>
      </c>
      <c r="D207" s="44">
        <f>IF(#REF!="","",#REF!)</f>
        <v/>
      </c>
      <c r="E207" s="43">
        <f>IF(#REF!="","",#REF!)</f>
        <v/>
      </c>
      <c r="F207" s="13" t="n"/>
      <c r="G207" s="14" t="n"/>
      <c r="H207" s="14" t="n"/>
      <c r="I207" s="13" t="n"/>
      <c r="J207" s="14" t="n"/>
      <c r="K207" s="14" t="n"/>
      <c r="L207" s="13" t="n"/>
      <c r="M207" s="14" t="n"/>
      <c r="N207" s="38" t="n"/>
      <c r="O207" s="13" t="n"/>
      <c r="P207" s="14" t="n"/>
      <c r="Q207" s="38" t="n"/>
      <c r="R207" s="13" t="n"/>
      <c r="S207" s="14" t="n"/>
      <c r="T207" s="14" t="n"/>
      <c r="U207" s="103" t="n"/>
    </row>
    <row r="208" outlineLevel="1" ht="13" customHeight="1">
      <c r="A208" s="43">
        <f>IF(#REF!="","",#REF!)</f>
        <v/>
      </c>
      <c r="B208" s="43">
        <f>IF(#REF!="","",#REF!)</f>
        <v/>
      </c>
      <c r="C208" s="43">
        <f>IF(#REF!="","",#REF!)</f>
        <v/>
      </c>
      <c r="D208" s="44">
        <f>IF(#REF!="","",#REF!)</f>
        <v/>
      </c>
      <c r="E208" s="43">
        <f>IF(#REF!="","",#REF!)</f>
        <v/>
      </c>
      <c r="F208" s="13" t="n"/>
      <c r="G208" s="14" t="n"/>
      <c r="H208" s="14" t="n"/>
      <c r="I208" s="13" t="n"/>
      <c r="J208" s="14" t="n"/>
      <c r="K208" s="14" t="n"/>
      <c r="L208" s="13" t="n"/>
      <c r="M208" s="14" t="n"/>
      <c r="N208" s="38" t="n"/>
      <c r="O208" s="13" t="n"/>
      <c r="P208" s="14" t="n"/>
      <c r="Q208" s="38" t="n"/>
      <c r="R208" s="13" t="n"/>
      <c r="S208" s="14" t="n"/>
      <c r="T208" s="14" t="n"/>
      <c r="U208" s="103" t="n"/>
    </row>
    <row r="209" outlineLevel="1" ht="13" customHeight="1">
      <c r="A209" s="43">
        <f>IF(#REF!="","",#REF!)</f>
        <v/>
      </c>
      <c r="B209" s="43">
        <f>IF(#REF!="","",#REF!)</f>
        <v/>
      </c>
      <c r="C209" s="43">
        <f>IF(#REF!="","",#REF!)</f>
        <v/>
      </c>
      <c r="D209" s="44">
        <f>IF(#REF!="","",#REF!)</f>
        <v/>
      </c>
      <c r="E209" s="43">
        <f>IF(#REF!="","",#REF!)</f>
        <v/>
      </c>
      <c r="F209" s="13" t="n"/>
      <c r="G209" s="14" t="n"/>
      <c r="H209" s="14" t="n"/>
      <c r="I209" s="13" t="n"/>
      <c r="J209" s="14" t="n"/>
      <c r="K209" s="14" t="n"/>
      <c r="L209" s="13" t="n"/>
      <c r="M209" s="14" t="n"/>
      <c r="N209" s="38" t="n"/>
      <c r="O209" s="13" t="n"/>
      <c r="P209" s="14" t="n"/>
      <c r="Q209" s="38" t="n"/>
      <c r="R209" s="13" t="n"/>
      <c r="S209" s="14" t="n"/>
      <c r="T209" s="14" t="n"/>
      <c r="U209" s="103" t="n"/>
    </row>
    <row r="210" outlineLevel="1" ht="13" customHeight="1">
      <c r="A210" s="43">
        <f>IF(#REF!="","",#REF!)</f>
        <v/>
      </c>
      <c r="B210" s="43">
        <f>IF(#REF!="","",#REF!)</f>
        <v/>
      </c>
      <c r="C210" s="43">
        <f>IF(#REF!="","",#REF!)</f>
        <v/>
      </c>
      <c r="D210" s="44">
        <f>IF(#REF!="","",#REF!)</f>
        <v/>
      </c>
      <c r="E210" s="43">
        <f>IF(#REF!="","",#REF!)</f>
        <v/>
      </c>
      <c r="F210" s="13" t="n"/>
      <c r="G210" s="14" t="n"/>
      <c r="H210" s="14" t="n"/>
      <c r="I210" s="13" t="n"/>
      <c r="J210" s="14" t="n"/>
      <c r="K210" s="14" t="n"/>
      <c r="L210" s="13" t="n"/>
      <c r="M210" s="14" t="n"/>
      <c r="N210" s="38" t="n"/>
      <c r="O210" s="13" t="n"/>
      <c r="P210" s="14" t="n"/>
      <c r="Q210" s="38" t="n"/>
      <c r="R210" s="13" t="n"/>
      <c r="S210" s="14" t="n"/>
      <c r="T210" s="14" t="n"/>
      <c r="U210" s="103" t="n"/>
    </row>
    <row r="211" outlineLevel="1" ht="13" customHeight="1">
      <c r="A211" s="43">
        <f>IF(#REF!="","",#REF!)</f>
        <v/>
      </c>
      <c r="B211" s="43">
        <f>IF(#REF!="","",#REF!)</f>
        <v/>
      </c>
      <c r="C211" s="43">
        <f>IF(#REF!="","",#REF!)</f>
        <v/>
      </c>
      <c r="D211" s="44">
        <f>IF(#REF!="","",#REF!)</f>
        <v/>
      </c>
      <c r="E211" s="43">
        <f>IF(#REF!="","",#REF!)</f>
        <v/>
      </c>
      <c r="F211" s="13" t="n"/>
      <c r="G211" s="14" t="n"/>
      <c r="H211" s="14" t="n"/>
      <c r="I211" s="13" t="n"/>
      <c r="J211" s="14" t="n"/>
      <c r="K211" s="14" t="n"/>
      <c r="L211" s="13" t="n"/>
      <c r="M211" s="14" t="n"/>
      <c r="N211" s="38" t="n"/>
      <c r="O211" s="13" t="n"/>
      <c r="P211" s="14" t="n"/>
      <c r="Q211" s="38" t="n"/>
      <c r="R211" s="13" t="n"/>
      <c r="S211" s="14" t="n"/>
      <c r="T211" s="14" t="n"/>
      <c r="U211" s="103" t="n"/>
    </row>
    <row r="212" outlineLevel="1" ht="13" customHeight="1">
      <c r="A212" s="43">
        <f>IF(#REF!="","",#REF!)</f>
        <v/>
      </c>
      <c r="B212" s="43">
        <f>IF(#REF!="","",#REF!)</f>
        <v/>
      </c>
      <c r="C212" s="43">
        <f>IF(#REF!="","",#REF!)</f>
        <v/>
      </c>
      <c r="D212" s="44">
        <f>IF(#REF!="","",#REF!)</f>
        <v/>
      </c>
      <c r="E212" s="43">
        <f>IF(#REF!="","",#REF!)</f>
        <v/>
      </c>
      <c r="F212" s="13" t="n"/>
      <c r="G212" s="14" t="n"/>
      <c r="H212" s="14" t="n"/>
      <c r="I212" s="13" t="n"/>
      <c r="J212" s="14" t="n"/>
      <c r="K212" s="14" t="n"/>
      <c r="L212" s="13" t="n"/>
      <c r="M212" s="14" t="n"/>
      <c r="N212" s="38" t="n"/>
      <c r="O212" s="13" t="n"/>
      <c r="P212" s="14" t="n"/>
      <c r="Q212" s="38" t="n"/>
      <c r="R212" s="13" t="n"/>
      <c r="S212" s="14" t="n"/>
      <c r="T212" s="14" t="n"/>
      <c r="U212" s="103" t="n"/>
    </row>
    <row r="213" outlineLevel="1" ht="13" customHeight="1">
      <c r="A213" s="43">
        <f>IF(#REF!="","",#REF!)</f>
        <v/>
      </c>
      <c r="B213" s="43">
        <f>IF(#REF!="","",#REF!)</f>
        <v/>
      </c>
      <c r="C213" s="43">
        <f>IF(#REF!="","",#REF!)</f>
        <v/>
      </c>
      <c r="D213" s="44">
        <f>IF(#REF!="","",#REF!)</f>
        <v/>
      </c>
      <c r="E213" s="43">
        <f>IF(#REF!="","",#REF!)</f>
        <v/>
      </c>
      <c r="F213" s="13" t="n"/>
      <c r="G213" s="14" t="n"/>
      <c r="H213" s="14" t="n"/>
      <c r="I213" s="13" t="n"/>
      <c r="J213" s="14" t="n"/>
      <c r="K213" s="14" t="n"/>
      <c r="L213" s="13" t="n"/>
      <c r="M213" s="14" t="n"/>
      <c r="N213" s="38" t="n"/>
      <c r="O213" s="13" t="n"/>
      <c r="P213" s="14" t="n"/>
      <c r="Q213" s="38" t="n"/>
      <c r="R213" s="13" t="n"/>
      <c r="S213" s="14" t="n"/>
      <c r="T213" s="14" t="n"/>
      <c r="U213" s="103" t="n"/>
    </row>
    <row r="214" outlineLevel="1" ht="13" customHeight="1">
      <c r="A214" s="43">
        <f>IF(#REF!="","",#REF!)</f>
        <v/>
      </c>
      <c r="B214" s="43">
        <f>IF(#REF!="","",#REF!)</f>
        <v/>
      </c>
      <c r="C214" s="43">
        <f>IF(#REF!="","",#REF!)</f>
        <v/>
      </c>
      <c r="D214" s="44">
        <f>IF(#REF!="","",#REF!)</f>
        <v/>
      </c>
      <c r="E214" s="43">
        <f>IF(#REF!="","",#REF!)</f>
        <v/>
      </c>
      <c r="F214" s="13" t="n"/>
      <c r="G214" s="14" t="n"/>
      <c r="H214" s="14" t="n"/>
      <c r="I214" s="13" t="n"/>
      <c r="J214" s="14" t="n"/>
      <c r="K214" s="14" t="n"/>
      <c r="L214" s="13" t="n"/>
      <c r="M214" s="14" t="n"/>
      <c r="N214" s="38" t="n"/>
      <c r="O214" s="13" t="n"/>
      <c r="P214" s="14" t="n"/>
      <c r="Q214" s="38" t="n"/>
      <c r="R214" s="13" t="n"/>
      <c r="S214" s="14" t="n"/>
      <c r="T214" s="14" t="n"/>
      <c r="U214" s="103" t="n"/>
    </row>
    <row r="215" outlineLevel="1" ht="13" customHeight="1">
      <c r="A215" s="43">
        <f>IF(#REF!="","",#REF!)</f>
        <v/>
      </c>
      <c r="B215" s="43">
        <f>IF(#REF!="","",#REF!)</f>
        <v/>
      </c>
      <c r="C215" s="43">
        <f>IF(#REF!="","",#REF!)</f>
        <v/>
      </c>
      <c r="D215" s="44">
        <f>IF(#REF!="","",#REF!)</f>
        <v/>
      </c>
      <c r="E215" s="43">
        <f>IF(#REF!="","",#REF!)</f>
        <v/>
      </c>
      <c r="F215" s="13" t="n"/>
      <c r="G215" s="14" t="n"/>
      <c r="H215" s="14" t="n"/>
      <c r="I215" s="13" t="n"/>
      <c r="J215" s="14" t="n"/>
      <c r="K215" s="14" t="n"/>
      <c r="L215" s="13" t="n"/>
      <c r="M215" s="14" t="n"/>
      <c r="N215" s="38" t="n"/>
      <c r="O215" s="13" t="n"/>
      <c r="P215" s="14" t="n"/>
      <c r="Q215" s="38" t="n"/>
      <c r="R215" s="13" t="n"/>
      <c r="S215" s="14" t="n"/>
      <c r="T215" s="14" t="n"/>
      <c r="U215" s="103" t="n"/>
    </row>
    <row r="216" ht="12.75" customHeight="1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</row>
    <row r="217" ht="12.75" customHeight="1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</row>
    <row r="218" ht="17.5" customFormat="1" customHeight="1" s="18">
      <c r="A218" s="76" t="inlineStr">
        <is>
          <t>Test Result Summary</t>
        </is>
      </c>
      <c r="B218" s="120" t="n"/>
      <c r="C218" s="120" t="n"/>
      <c r="D218" s="120" t="n"/>
      <c r="E218" s="120" t="n"/>
      <c r="F218" s="120" t="n"/>
      <c r="G218" s="120" t="n"/>
      <c r="H218" s="120" t="n"/>
      <c r="I218" s="77" t="n"/>
      <c r="J218" s="77" t="n"/>
      <c r="K218" s="103" t="n"/>
      <c r="L218" s="77" t="n"/>
      <c r="M218" s="77" t="n"/>
      <c r="N218" s="103" t="n"/>
      <c r="O218" s="77" t="n"/>
      <c r="P218" s="77" t="n"/>
      <c r="Q218" s="103" t="n"/>
      <c r="R218" s="77" t="n"/>
      <c r="S218" s="77" t="n"/>
      <c r="T218" s="103" t="n"/>
    </row>
    <row r="219" ht="12.75" customHeight="1">
      <c r="A219" s="19" t="inlineStr">
        <is>
          <t>Total Test Case Executed</t>
        </is>
      </c>
      <c r="B219" s="20">
        <f>SUM(B220:B222)</f>
        <v/>
      </c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</row>
    <row r="220" ht="12.75" customHeight="1">
      <c r="A220" s="19" t="inlineStr">
        <is>
          <t>Toral Test Case passed</t>
        </is>
      </c>
      <c r="B220" s="20">
        <f>COUNTIF(F16:F215,"Pass")</f>
        <v/>
      </c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</row>
    <row r="221" ht="12.75" customHeight="1">
      <c r="A221" s="19" t="inlineStr">
        <is>
          <t>Total Test Case Failed</t>
        </is>
      </c>
      <c r="B221" s="20">
        <f>COUNTIF(F16:F215,"Fail")</f>
        <v/>
      </c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</row>
    <row r="222" ht="12.75" customHeight="1">
      <c r="A222" s="21" t="inlineStr">
        <is>
          <t>Total Test Case Not Executed</t>
        </is>
      </c>
      <c r="B222" s="22">
        <f>COUNTIF(F16:F215,"Not Executed")</f>
        <v/>
      </c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</row>
    <row r="223" ht="12.75" customHeight="1">
      <c r="A223" s="23" t="n"/>
      <c r="B223" s="2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</row>
    <row r="224" ht="13" customHeight="1">
      <c r="A224" s="19" t="inlineStr">
        <is>
          <t>Severity</t>
        </is>
      </c>
      <c r="B224" s="19" t="inlineStr">
        <is>
          <t>Number of tests failed</t>
        </is>
      </c>
      <c r="C224" s="103" t="n"/>
      <c r="D224" s="103" t="n"/>
      <c r="E224" s="103" t="n"/>
      <c r="F224" s="103" t="n"/>
      <c r="G224" s="24" t="n"/>
      <c r="H224" s="24" t="n"/>
      <c r="I224" s="103" t="n"/>
      <c r="J224" s="24" t="n"/>
      <c r="K224" s="24" t="n"/>
      <c r="L224" s="103" t="n"/>
      <c r="M224" s="24" t="n"/>
      <c r="N224" s="24" t="n"/>
      <c r="O224" s="103" t="n"/>
      <c r="P224" s="24" t="n"/>
      <c r="Q224" s="24" t="n"/>
      <c r="R224" s="103" t="n"/>
      <c r="S224" s="24" t="n"/>
      <c r="T224" s="24" t="n"/>
      <c r="U224" s="18" t="n"/>
    </row>
    <row r="225" ht="12.75" customHeight="1">
      <c r="A225" s="19" t="inlineStr">
        <is>
          <t>Major</t>
        </is>
      </c>
      <c r="B225" s="25">
        <f>COUNTIF(G16:G215,"Major")</f>
        <v/>
      </c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8" t="n"/>
    </row>
    <row r="226" ht="12.75" customHeight="1">
      <c r="A226" s="19" t="inlineStr">
        <is>
          <t>Medium</t>
        </is>
      </c>
      <c r="B226" s="25">
        <f>COUNTIF(G16:G215,"Medium")</f>
        <v/>
      </c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8" t="n"/>
    </row>
    <row r="227" ht="12.75" customHeight="1">
      <c r="A227" s="21" t="inlineStr">
        <is>
          <t>Minor</t>
        </is>
      </c>
      <c r="B227" s="25">
        <f>COUNTIF(G15:G215,"Minor")</f>
        <v/>
      </c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8" t="n"/>
    </row>
    <row r="228" ht="8.25" customHeight="1">
      <c r="A228" s="26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8" t="n"/>
    </row>
    <row r="229" ht="0.75" customHeight="1">
      <c r="A229" s="27">
        <f>COUNTIF(#REF!,"F")</f>
        <v/>
      </c>
      <c r="B229" s="28">
        <f>COUNTIF(#REF!,"P")</f>
        <v/>
      </c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8" t="n"/>
    </row>
    <row r="230" ht="13" customHeight="1">
      <c r="A230" s="29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8" t="n"/>
    </row>
    <row r="231" ht="46.5" customHeight="1">
      <c r="A231" s="30" t="inlineStr">
        <is>
          <t xml:space="preserve">Recommendations          
</t>
        </is>
      </c>
      <c r="B231" s="75" t="n"/>
      <c r="C231" s="118" t="n"/>
      <c r="D231" s="118" t="n"/>
      <c r="E231" s="119" t="n"/>
      <c r="F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  <c r="O231" s="31" t="n"/>
      <c r="P231" s="31" t="n"/>
      <c r="Q231" s="31" t="n"/>
      <c r="R231" s="31" t="n"/>
      <c r="S231" s="31" t="n"/>
      <c r="T231" s="31" t="n"/>
    </row>
    <row r="232" ht="45.75" customHeight="1">
      <c r="A232" s="32" t="inlineStr">
        <is>
          <t>Tested/ Prepared By:
Name:
Date:</t>
        </is>
      </c>
      <c r="B232" s="74" t="n"/>
      <c r="C232" s="118" t="n"/>
      <c r="D232" s="118" t="n"/>
      <c r="E232" s="119" t="n"/>
      <c r="F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  <c r="O232" s="31" t="n"/>
      <c r="P232" s="31" t="n"/>
      <c r="Q232" s="31" t="n"/>
      <c r="R232" s="31" t="n"/>
      <c r="S232" s="31" t="n"/>
      <c r="T232" s="31" t="n"/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9B81"/>
  <mergeCells count="31">
    <mergeCell ref="L14:N14"/>
    <mergeCell ref="A1:E1"/>
    <mergeCell ref="A3:C3"/>
    <mergeCell ref="B14:B15"/>
    <mergeCell ref="A13:A15"/>
    <mergeCell ref="D6:E6"/>
    <mergeCell ref="A5:C5"/>
    <mergeCell ref="F13:H13"/>
    <mergeCell ref="I14:K14"/>
    <mergeCell ref="A218:H218"/>
    <mergeCell ref="A8:C8"/>
    <mergeCell ref="B232:E232"/>
    <mergeCell ref="A4:C4"/>
    <mergeCell ref="A12:H12"/>
    <mergeCell ref="O14:Q14"/>
    <mergeCell ref="D7:E7"/>
    <mergeCell ref="F14:H14"/>
    <mergeCell ref="A2:H2"/>
    <mergeCell ref="R14:T14"/>
    <mergeCell ref="A9:C9"/>
    <mergeCell ref="D4:E4"/>
    <mergeCell ref="B231:E231"/>
    <mergeCell ref="D3:E3"/>
    <mergeCell ref="D9:E9"/>
    <mergeCell ref="D8:E8"/>
    <mergeCell ref="C14:E14"/>
    <mergeCell ref="B13:E13"/>
    <mergeCell ref="A6:C6"/>
    <mergeCell ref="D5:E5"/>
    <mergeCell ref="A10:H10"/>
    <mergeCell ref="A7:C7"/>
  </mergeCells>
  <dataValidations xWindow="466" yWindow="396" count="5">
    <dataValidation sqref="D3:F3 I3 J7:T7 L3 O3 O6:IV6 O16:O494 R3" showDropDown="0" showInputMessage="0" showErrorMessage="0" allowBlank="1"/>
    <dataValidation sqref="L6 U231:U232" showDropDown="0" showInputMessage="0" showErrorMessage="0" allowBlank="1" type="list">
      <formula1>"N/A, "</formula1>
    </dataValidation>
    <dataValidation sqref="F16:F215 H16:I215 K16:L215 N16:N215 R16:R215 T16:T215" showDropDown="0" showInputMessage="1" showErrorMessage="0" allowBlank="1" prompt="Comments by Test Engineer"/>
    <dataValidation sqref="G16:G215 J16:J215 M16:M215 P16:P215 S16:S215" showDropDown="0" showInputMessage="1" showErrorMessage="0" allowBlank="1" prompt="Comments by Test Engineer" type="list">
      <formula1>"Major,Medium,Minor"</formula1>
    </dataValidation>
    <dataValidation sqref="Q16:Q494" showDropDown="0" showInputMessage="0" showErrorMessage="0" allowBlank="1" prompt="Comments by Test Engineer"/>
  </dataValidations>
  <pageMargins left="0.53" right="0.5" top="1.16" bottom="1" header="0.5" footer="0.5"/>
  <pageSetup orientation="landscape"/>
  <headerFooter alignWithMargins="0">
    <oddHeader>&amp;L&amp;"Times New Roman,Italic"&amp;12 &lt;Report ID_Version No.&gt;</oddHeader>
    <oddFooter>&amp;L&amp;"Times New Roman,Regular"© SoCrates Confidential&amp;RPage&amp;POf&amp;N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1"/>
  <sheetViews>
    <sheetView tabSelected="1" zoomScaleNormal="100" workbookViewId="0">
      <selection activeCell="B2" sqref="B2:H2"/>
    </sheetView>
  </sheetViews>
  <sheetFormatPr baseColWidth="8" defaultColWidth="7.81640625" defaultRowHeight="13" zeroHeight="1"/>
  <cols>
    <col width="5.7265625" customWidth="1" style="46" min="1" max="1"/>
    <col width="28" customWidth="1" style="46" min="2" max="2"/>
    <col width="25.1796875" customWidth="1" style="65" min="3" max="3"/>
    <col width="31.453125" customWidth="1" style="46" min="4" max="4"/>
    <col width="36.1796875" customWidth="1" style="66" min="5" max="5"/>
    <col width="27.7265625" customWidth="1" style="66" min="6" max="6"/>
    <col width="17.54296875" customWidth="1" style="46" min="7" max="7"/>
    <col width="19.81640625" customWidth="1" style="46" min="8" max="8"/>
    <col width="6.26953125" customWidth="1" style="46" min="9" max="9"/>
    <col hidden="1" style="46" min="10" max="255"/>
    <col width="7.81640625" customWidth="1" style="46" min="256" max="16384"/>
  </cols>
  <sheetData>
    <row r="1">
      <c r="B1" s="104" t="inlineStr">
        <is>
          <t>Test Case Details</t>
        </is>
      </c>
      <c r="C1" s="118" t="n"/>
      <c r="D1" s="118" t="n"/>
      <c r="E1" s="118" t="n"/>
      <c r="F1" s="118" t="n"/>
      <c r="G1" s="118" t="n"/>
      <c r="H1" s="119" t="n"/>
      <c r="I1" s="53" t="n"/>
    </row>
    <row r="2" ht="81.75" customHeight="1">
      <c r="B2" s="128" t="inlineStr">
        <is>
          <t>Component: Unknown</t>
        </is>
      </c>
      <c r="C2" s="80" t="n"/>
      <c r="D2" s="80" t="n"/>
      <c r="E2" s="80" t="n"/>
      <c r="F2" s="80" t="n"/>
      <c r="G2" s="80" t="n"/>
      <c r="H2" s="81" t="n"/>
      <c r="I2" s="48" t="n"/>
    </row>
    <row r="3" ht="17.25" customHeight="1">
      <c r="B3" s="49" t="n"/>
      <c r="C3" s="49" t="n"/>
      <c r="D3" s="49" t="n"/>
      <c r="E3" s="50" t="n"/>
      <c r="F3" s="50" t="n"/>
      <c r="G3" s="49" t="n"/>
      <c r="H3" s="51" t="n"/>
      <c r="I3" s="48" t="n"/>
    </row>
    <row r="4" ht="19.5" customHeight="1">
      <c r="A4" s="110" t="n"/>
      <c r="B4" s="111" t="inlineStr">
        <is>
          <t>Test Case ID</t>
        </is>
      </c>
      <c r="C4" s="56" t="n"/>
      <c r="D4" s="129" t="inlineStr">
        <is>
          <t>Test Procedure</t>
        </is>
      </c>
      <c r="E4" s="119" t="n"/>
      <c r="F4" s="115" t="inlineStr">
        <is>
          <t>Results</t>
        </is>
      </c>
      <c r="G4" s="118" t="n"/>
      <c r="H4" s="111" t="inlineStr">
        <is>
          <t>Remarks</t>
        </is>
      </c>
      <c r="I4" s="48" t="n"/>
    </row>
    <row r="5" ht="24" customHeight="1">
      <c r="A5" s="130" t="n"/>
      <c r="B5" s="126" t="n"/>
      <c r="C5" s="73" t="inlineStr">
        <is>
          <t>Preconditions</t>
        </is>
      </c>
      <c r="D5" s="111" t="inlineStr">
        <is>
          <t>Test Condition</t>
        </is>
      </c>
      <c r="E5" s="52" t="inlineStr">
        <is>
          <t>Steps with description</t>
        </is>
      </c>
      <c r="F5" s="112" t="inlineStr">
        <is>
          <t>Expected Result</t>
        </is>
      </c>
      <c r="G5" s="111" t="inlineStr">
        <is>
          <t>Actual Result</t>
        </is>
      </c>
      <c r="H5" s="111" t="n"/>
      <c r="I5" s="53" t="n"/>
    </row>
    <row r="6" ht="99.75" customHeight="1">
      <c r="B6" s="57" t="inlineStr">
        <is>
          <t>TC001</t>
        </is>
      </c>
      <c r="C6" s="60" t="inlineStr">
        <is>
          <t>MFP is powered on with SCC disabled</t>
        </is>
      </c>
      <c r="D6" s="70" t="inlineStr">
        <is>
          <t>Verify default state of SCC function</t>
        </is>
      </c>
      <c r="E6" s="61" t="inlineStr">
        <is>
          <t>1. Power on MFP
2. Access Self-diagnostic boot-up mode
3. Check the value of 08-3820</t>
        </is>
      </c>
      <c r="F6" s="62" t="inlineStr">
        <is>
          <t>08-3820 should be set to "0" (Disable) by default</t>
        </is>
      </c>
      <c r="G6" s="58" t="inlineStr"/>
      <c r="H6" s="59" t="inlineStr"/>
      <c r="I6" s="53" t="n"/>
    </row>
    <row r="7" ht="99.75" customHeight="1">
      <c r="B7" s="57" t="inlineStr">
        <is>
          <t>TC002</t>
        </is>
      </c>
      <c r="C7" s="60" t="inlineStr">
        <is>
          <t>MFP is in Self-diagnostic boot-up mode</t>
        </is>
      </c>
      <c r="D7" s="70" t="inlineStr">
        <is>
          <t>Enable SCC function</t>
        </is>
      </c>
      <c r="E7" s="61" t="inlineStr">
        <is>
          <t>1. Access Self-diagnostic boot-up mode
2. Change 08-3820 from 0 to 1
3. Reboot the MFP</t>
        </is>
      </c>
      <c r="F7" s="62" t="inlineStr">
        <is>
          <t>SCC function should be enabled after reboot</t>
        </is>
      </c>
      <c r="G7" s="58" t="inlineStr"/>
      <c r="H7" s="59" t="inlineStr"/>
      <c r="I7" s="53" t="n"/>
    </row>
    <row r="8" ht="99.75" customHeight="1">
      <c r="B8" s="57" t="inlineStr">
        <is>
          <t>TC003</t>
        </is>
      </c>
      <c r="C8" s="60" t="inlineStr">
        <is>
          <t>SCC function is enabled</t>
        </is>
      </c>
      <c r="D8" s="70" t="inlineStr">
        <is>
          <t>Verify SCC installation report printing</t>
        </is>
      </c>
      <c r="E8" s="61" t="inlineStr">
        <is>
          <t>1. Change 08-3820 from 0 to 1
2. Reboot the MFP
3. Wait for MFP registration processing to complete</t>
        </is>
      </c>
      <c r="F8" s="62" t="inlineStr">
        <is>
          <t>Installation report should be printed automatically after MFP registration</t>
        </is>
      </c>
      <c r="G8" s="58" t="inlineStr"/>
      <c r="H8" s="59" t="inlineStr"/>
      <c r="I8" s="53" t="n"/>
    </row>
    <row r="9" ht="99.75" customHeight="1">
      <c r="B9" s="57" t="inlineStr">
        <is>
          <t>TC004</t>
        </is>
      </c>
      <c r="C9" s="60" t="inlineStr">
        <is>
          <t>SCC function is enabled</t>
        </is>
      </c>
      <c r="D9" s="70" t="inlineStr">
        <is>
          <t>Verify SCC installation report content</t>
        </is>
      </c>
      <c r="E9" s="61" t="inlineStr">
        <is>
          <t>1. Examine the printed installation report</t>
        </is>
      </c>
      <c r="F9" s="62" t="inlineStr">
        <is>
          <t>Report should contain: Serial Number, Model Name, MAC Address, IP Address, Subnet Mask, Gateway, DNS Server, and Registration Status</t>
        </is>
      </c>
      <c r="G9" s="58" t="inlineStr"/>
      <c r="H9" s="59" t="inlineStr"/>
      <c r="I9" s="53" t="n"/>
    </row>
    <row r="10" ht="99.75" customHeight="1">
      <c r="B10" s="57" t="inlineStr">
        <is>
          <t>TC005</t>
        </is>
      </c>
      <c r="C10" s="60" t="inlineStr">
        <is>
          <t>SCC function is enabled</t>
        </is>
      </c>
      <c r="D10" s="70" t="inlineStr">
        <is>
          <t>Verify SCC installation report is printed only once</t>
        </is>
      </c>
      <c r="E10" s="61" t="inlineStr">
        <is>
          <t>1. Enable SCC function
2. Reboot MFP
3. Disable SCC function
4. Enable SCC function again
5. Reboot MFP</t>
        </is>
      </c>
      <c r="F10" s="62" t="inlineStr">
        <is>
          <t>Installation report should be printed only after the first enablement, not after subsequent enablements</t>
        </is>
      </c>
      <c r="G10" s="58" t="inlineStr"/>
      <c r="H10" s="59" t="inlineStr"/>
      <c r="I10" s="53" t="n"/>
    </row>
    <row r="11" ht="99.75" customHeight="1">
      <c r="B11" s="57" t="inlineStr">
        <is>
          <t>TC006</t>
        </is>
      </c>
      <c r="C11" s="60" t="inlineStr">
        <is>
          <t>SCC function is enabled</t>
        </is>
      </c>
      <c r="D11" s="70" t="inlineStr">
        <is>
          <t>Verify SCC installation report language</t>
        </is>
      </c>
      <c r="E11" s="61" t="inlineStr">
        <is>
          <t>1. Change device language to non-English
2. Enable SCC function
3. Reboot MFP</t>
        </is>
      </c>
      <c r="F11" s="62" t="inlineStr">
        <is>
          <t>Installation report should be printed in English regardless of device language setting</t>
        </is>
      </c>
      <c r="G11" s="58" t="inlineStr"/>
      <c r="H11" s="59" t="inlineStr"/>
      <c r="I11" s="53" t="n"/>
    </row>
    <row r="12" ht="99.75" customHeight="1">
      <c r="B12" s="57" t="inlineStr">
        <is>
          <t>TC007</t>
        </is>
      </c>
      <c r="C12" s="60" t="inlineStr">
        <is>
          <t>SCC function is enabled</t>
        </is>
      </c>
      <c r="D12" s="70" t="inlineStr">
        <is>
          <t>Verify SCC installation report in job log</t>
        </is>
      </c>
      <c r="E12" s="61" t="inlineStr">
        <is>
          <t>1. Enable SCC function
2. Reboot MFP
3. Check job log</t>
        </is>
      </c>
      <c r="F12" s="62" t="inlineStr">
        <is>
          <t>SCC installation report should be recorded in Job Log as network print</t>
        </is>
      </c>
      <c r="G12" s="58" t="inlineStr"/>
      <c r="H12" s="59" t="inlineStr"/>
      <c r="I12" s="53" t="n"/>
    </row>
    <row r="13" ht="99.75" customHeight="1">
      <c r="B13" s="57" t="inlineStr">
        <is>
          <t>TC008</t>
        </is>
      </c>
      <c r="C13" s="60" t="inlineStr">
        <is>
          <t>User authentication is enabled, SCC function is enabled</t>
        </is>
      </c>
      <c r="D13" s="70" t="inlineStr">
        <is>
          <t>Verify SCC installation report with user counter</t>
        </is>
      </c>
      <c r="E13" s="61" t="inlineStr">
        <is>
          <t>1. Enable user authentication
2. Enable SCC function
3. Reboot MFP
4. Check user counter for built-in Admin</t>
        </is>
      </c>
      <c r="F13" s="62" t="inlineStr">
        <is>
          <t>User counter for built-in Admin should be incremented after SCC report printing</t>
        </is>
      </c>
      <c r="G13" s="58" t="inlineStr"/>
      <c r="H13" s="59" t="inlineStr"/>
      <c r="I13" s="53" t="n"/>
    </row>
    <row r="14" ht="99.75" customHeight="1">
      <c r="B14" s="57" t="inlineStr">
        <is>
          <t>TC009</t>
        </is>
      </c>
      <c r="C14" s="60" t="inlineStr">
        <is>
          <t>Network print restriction mode is set to "only private", SCC function is enabled</t>
        </is>
      </c>
      <c r="D14" s="70" t="inlineStr">
        <is>
          <t>Verify SCC installation report with network print restriction</t>
        </is>
      </c>
      <c r="E14" s="61" t="inlineStr">
        <is>
          <t>1. Set 08-9344 to 1 (only private)
2. Enable SCC function
3. Reboot MFP
4. Check job log</t>
        </is>
      </c>
      <c r="F14" s="62" t="inlineStr">
        <is>
          <t>SCC report should not be printed, job log should show error code 4221</t>
        </is>
      </c>
      <c r="G14" s="58" t="inlineStr"/>
      <c r="H14" s="59" t="inlineStr"/>
      <c r="I14" s="53" t="n"/>
    </row>
    <row r="15" ht="99.75" customHeight="1">
      <c r="B15" s="57" t="inlineStr">
        <is>
          <t>TC010</t>
        </is>
      </c>
      <c r="C15" s="60" t="inlineStr">
        <is>
          <t>Network print restriction mode is set to "only hold", SCC function is enabled</t>
        </is>
      </c>
      <c r="D15" s="70" t="inlineStr">
        <is>
          <t>Verify SCC installation report with hold print</t>
        </is>
      </c>
      <c r="E15" s="61" t="inlineStr">
        <is>
          <t>1. Set 08-9344 to 2 (only hold)
2. Enable SCC function
3. Reboot MFP
4. Check job status</t>
        </is>
      </c>
      <c r="F15" s="62" t="inlineStr">
        <is>
          <t>Job should be registered as hold print</t>
        </is>
      </c>
      <c r="G15" s="58" t="inlineStr"/>
      <c r="H15" s="59" t="inlineStr"/>
      <c r="I15" s="53" t="n"/>
    </row>
    <row r="16" ht="99.75" customHeight="1">
      <c r="B16" s="57" t="inlineStr">
        <is>
          <t>TC011</t>
        </is>
      </c>
      <c r="C16" s="60" t="inlineStr">
        <is>
          <t>User authentication enabled, quota for built-in admin exhausted, SCC function is enabled</t>
        </is>
      </c>
      <c r="D16" s="70" t="inlineStr">
        <is>
          <t>Verify SCC installation report with quota error</t>
        </is>
      </c>
      <c r="E16" s="61" t="inlineStr">
        <is>
          <t>1. Enable user authentication
2. Set quota for built-in admin to minimum
3. Exhaust quota
4. Enable SCC function
5. Reboot MFP</t>
        </is>
      </c>
      <c r="F16" s="62" t="inlineStr">
        <is>
          <t>SCC report should not be printed, quota error should be recorded</t>
        </is>
      </c>
      <c r="G16" s="58" t="inlineStr"/>
      <c r="H16" s="59" t="inlineStr"/>
      <c r="I16" s="53" t="n"/>
    </row>
    <row r="17" ht="99.75" customHeight="1">
      <c r="B17" s="57" t="inlineStr">
        <is>
          <t>TC012</t>
        </is>
      </c>
      <c r="C17" s="60" t="inlineStr">
        <is>
          <t>Coin controller equipped, external counter 08 code enabled, SCC function is enabled</t>
        </is>
      </c>
      <c r="D17" s="70" t="inlineStr">
        <is>
          <t>Verify SCC installation report with coin controller</t>
        </is>
      </c>
      <c r="E17" s="61" t="inlineStr">
        <is>
          <t>1. Equip coin controller
2. Enable external counter 08 code
3. Enable SCC function
4. Reboot MFP</t>
        </is>
      </c>
      <c r="F17" s="62" t="inlineStr">
        <is>
          <t>SCC report should not be printed until coin is inserted</t>
        </is>
      </c>
      <c r="G17" s="58" t="inlineStr"/>
      <c r="H17" s="59" t="inlineStr"/>
      <c r="I17" s="53" t="n"/>
    </row>
    <row r="18" ht="99.75" customHeight="1">
      <c r="B18" s="57" t="inlineStr">
        <is>
          <t>TC013</t>
        </is>
      </c>
      <c r="C18" s="60" t="inlineStr">
        <is>
          <t>Job queue is full (1000 jobs), SCC function is enabled</t>
        </is>
      </c>
      <c r="D18" s="70" t="inlineStr">
        <is>
          <t>Verify SCC installation report with full job queue</t>
        </is>
      </c>
      <c r="E18" s="61" t="inlineStr">
        <is>
          <t>1. Fill job queue with 1000 jobs
2. Enable SCC function
3. Reboot MFP</t>
        </is>
      </c>
      <c r="F18" s="62" t="inlineStr">
        <is>
          <t>SCC report should not be printed</t>
        </is>
      </c>
      <c r="G18" s="58" t="inlineStr"/>
      <c r="H18" s="59" t="inlineStr"/>
      <c r="I18" s="53" t="n"/>
    </row>
    <row r="19" ht="99.75" customHeight="1">
      <c r="B19" s="57" t="inlineStr">
        <is>
          <t>TC014</t>
        </is>
      </c>
      <c r="C19" s="60" t="inlineStr">
        <is>
          <t>Monochrome machine without print enabler, SCC function is enabled</t>
        </is>
      </c>
      <c r="D19" s="70" t="inlineStr">
        <is>
          <t>Verify SCC installation report without print enabler</t>
        </is>
      </c>
      <c r="E19" s="61" t="inlineStr">
        <is>
          <t>1. Use monochrome machine without print enabler
2. Enable SCC function
3. Reboot MFP</t>
        </is>
      </c>
      <c r="F19" s="62" t="inlineStr">
        <is>
          <t>SCC report should not be printed</t>
        </is>
      </c>
      <c r="G19" s="58" t="inlineStr"/>
      <c r="H19" s="59" t="inlineStr"/>
      <c r="I19" s="53" t="n"/>
    </row>
    <row r="20" ht="99.75" customHeight="1">
      <c r="B20" s="57" t="inlineStr">
        <is>
          <t>TC015</t>
        </is>
      </c>
      <c r="C20" s="60" t="inlineStr">
        <is>
          <t>SCC function is enabled</t>
        </is>
      </c>
      <c r="D20" s="70" t="inlineStr">
        <is>
          <t>Verify HTTPS communication protocol</t>
        </is>
      </c>
      <c r="E20" s="61" t="inlineStr">
        <is>
          <t>1. Enable SCC function
2. Capture network traffic during MFP communication with server
3. Analyze captured packets</t>
        </is>
      </c>
      <c r="F20" s="62" t="inlineStr">
        <is>
          <t>MFP should use HTTPS for communication with servers</t>
        </is>
      </c>
      <c r="G20" s="58" t="inlineStr"/>
      <c r="H20" s="59" t="inlineStr"/>
      <c r="I20" s="53" t="n"/>
    </row>
    <row r="21" ht="99.75" customHeight="1">
      <c r="B21" s="57" t="inlineStr">
        <is>
          <t>TC016</t>
        </is>
      </c>
      <c r="C21" s="60" t="inlineStr">
        <is>
          <t>SCC function is enabled</t>
        </is>
      </c>
      <c r="D21" s="70" t="inlineStr">
        <is>
          <t>Verify client-side communication initiation</t>
        </is>
      </c>
      <c r="E21" s="61" t="inlineStr">
        <is>
          <t>1. Enable SCC function
2. Monitor network traffic
3. Observe communication patterns</t>
        </is>
      </c>
      <c r="F21" s="62" t="inlineStr">
        <is>
          <t>Communication should always start from MFP side, never from server side</t>
        </is>
      </c>
      <c r="G21" s="58" t="inlineStr"/>
      <c r="H21" s="59" t="inlineStr"/>
      <c r="I21" s="53" t="n"/>
    </row>
    <row r="22" ht="99.75" customHeight="1">
      <c r="B22" s="57" t="inlineStr">
        <is>
          <t>TC017</t>
        </is>
      </c>
      <c r="C22" s="60" t="inlineStr">
        <is>
          <t>SCC function is enabled</t>
        </is>
      </c>
      <c r="D22" s="70" t="inlineStr">
        <is>
          <t>Verify SSL certificate validation</t>
        </is>
      </c>
      <c r="E22" s="61" t="inlineStr">
        <is>
          <t>1. Enable SCC function
2. Configure MFP to communicate with test server with invalid SSL certificate
3. Observe communication attempt</t>
        </is>
      </c>
      <c r="F22" s="62" t="inlineStr">
        <is>
          <t>MFP should reject connection with server having invalid SSL certificate</t>
        </is>
      </c>
      <c r="G22" s="58" t="inlineStr"/>
      <c r="H22" s="59" t="inlineStr"/>
      <c r="I22" s="53" t="n"/>
    </row>
    <row r="23" ht="99.75" customHeight="1">
      <c r="B23" s="57" t="inlineStr">
        <is>
          <t>TC018</t>
        </is>
      </c>
      <c r="C23" s="60" t="inlineStr">
        <is>
          <t>SCC function is enabled, proxy server configured</t>
        </is>
      </c>
      <c r="D23" s="70" t="inlineStr">
        <is>
          <t>Verify proxy server settings</t>
        </is>
      </c>
      <c r="E23" s="61" t="inlineStr">
        <is>
          <t>1. Configure proxy server settings (08-3822 to 08-3826)
2. Enable SCC function
3. Reboot MFP
4. Monitor communication</t>
        </is>
      </c>
      <c r="F23" s="62" t="inlineStr">
        <is>
          <t>MFP should communicate with server via configured proxy</t>
        </is>
      </c>
      <c r="G23" s="58" t="inlineStr"/>
      <c r="H23" s="59" t="inlineStr"/>
      <c r="I23" s="53" t="n"/>
    </row>
    <row r="24" ht="99.75" customHeight="1">
      <c r="B24" s="57" t="inlineStr">
        <is>
          <t>TC019</t>
        </is>
      </c>
      <c r="C24" s="60" t="inlineStr">
        <is>
          <t>SCC function is enabled, proxy server with authentication configured</t>
        </is>
      </c>
      <c r="D24" s="70" t="inlineStr">
        <is>
          <t>Verify proxy authentication</t>
        </is>
      </c>
      <c r="E24" s="61" t="inlineStr">
        <is>
          <t>1. Configure proxy server with authentication
2. Set proxy credentials in MFP
3. Enable SCC function
4. Reboot MFP
5. Monitor communication</t>
        </is>
      </c>
      <c r="F24" s="62" t="inlineStr">
        <is>
          <t>MFP should authenticate with proxy server and communicate with SCC server</t>
        </is>
      </c>
      <c r="G24" s="58" t="inlineStr"/>
      <c r="H24" s="59" t="inlineStr"/>
      <c r="I24" s="53" t="n"/>
    </row>
    <row r="25" ht="99.75" customHeight="1">
      <c r="B25" s="57" t="inlineStr">
        <is>
          <t>TC020</t>
        </is>
      </c>
      <c r="C25" s="60" t="inlineStr">
        <is>
          <t>SCC function is enabled, proxy server with NULL account ID configured</t>
        </is>
      </c>
      <c r="D25" s="70" t="inlineStr">
        <is>
          <t>Verify proxy behavior with NULL authentication</t>
        </is>
      </c>
      <c r="E25" s="61" t="inlineStr">
        <is>
          <t>1. Configure proxy server
2. Set NULL account ID in MFP proxy settings
3. Enable SCC function
4. Reboot MFP
5. Monitor communication</t>
        </is>
      </c>
      <c r="F25" s="62" t="inlineStr">
        <is>
          <t>MFP should behave as without proxy authentication</t>
        </is>
      </c>
      <c r="G25" s="58" t="inlineStr"/>
      <c r="H25" s="59" t="inlineStr"/>
      <c r="I25" s="53" t="n"/>
    </row>
    <row r="26" ht="99.75" customHeight="1">
      <c r="B26" s="57" t="inlineStr">
        <is>
          <t>TC021</t>
        </is>
      </c>
      <c r="C26" s="60" t="inlineStr">
        <is>
          <t>SCC function is enabled, firewall configured to block port 443</t>
        </is>
      </c>
      <c r="D26" s="70" t="inlineStr">
        <is>
          <t>Verify port fallback behavior</t>
        </is>
      </c>
      <c r="E26" s="61" t="inlineStr">
        <is>
          <t>1. Configure firewall to block port 443
2. Enable SCC function
3. Reboot MFP
4. Monitor communication</t>
        </is>
      </c>
      <c r="F26" s="62" t="inlineStr">
        <is>
          <t>MFP should automatically use port 8443</t>
        </is>
      </c>
      <c r="G26" s="58" t="inlineStr"/>
      <c r="H26" s="59" t="inlineStr"/>
      <c r="I26" s="53" t="n"/>
    </row>
    <row r="27" ht="99.75" customHeight="1">
      <c r="B27" s="57" t="inlineStr">
        <is>
          <t>TC022</t>
        </is>
      </c>
      <c r="C27" s="60" t="inlineStr">
        <is>
          <t>MFP is in special startup mode, SCC function is enabled</t>
        </is>
      </c>
      <c r="D27" s="70" t="inlineStr">
        <is>
          <t>Verify SCC behavior in special startup</t>
        </is>
      </c>
      <c r="E27" s="61" t="inlineStr">
        <is>
          <t>1. Boot MFP in special startup mode
2. Monitor SCC process</t>
        </is>
      </c>
      <c r="F27" s="62" t="inlineStr">
        <is>
          <t>SCC process should not start up in special startup mode</t>
        </is>
      </c>
      <c r="G27" s="58" t="inlineStr"/>
      <c r="H27" s="59" t="inlineStr"/>
      <c r="I27" s="53" t="n"/>
    </row>
    <row r="28" ht="99.75" customHeight="1">
      <c r="B28" s="57" t="inlineStr">
        <is>
          <t>TC023</t>
        </is>
      </c>
      <c r="C28" s="60" t="inlineStr">
        <is>
          <t>SCC function is enabled</t>
        </is>
      </c>
      <c r="D28" s="70" t="inlineStr">
        <is>
          <t>Verify regular communication loop operation</t>
        </is>
      </c>
      <c r="E28" s="61" t="inlineStr">
        <is>
          <t>1. Enable SCC function
2. Monitor communication with server
3. Observe timing of communications</t>
        </is>
      </c>
      <c r="F28" s="62" t="inlineStr">
        <is>
          <t>MFP should communicate with server according to regular communication schedule</t>
        </is>
      </c>
      <c r="G28" s="58" t="inlineStr"/>
      <c r="H28" s="59" t="inlineStr"/>
      <c r="I28" s="53" t="n"/>
    </row>
    <row r="29" ht="99.75" customHeight="1">
      <c r="B29" s="57" t="inlineStr">
        <is>
          <t>TC024</t>
        </is>
      </c>
      <c r="C29" s="60" t="inlineStr">
        <is>
          <t>SCC function is enabled</t>
        </is>
      </c>
      <c r="D29" s="70" t="inlineStr">
        <is>
          <t>Verify event notification loop operation</t>
        </is>
      </c>
      <c r="E29" s="61" t="inlineStr">
        <is>
          <t>1. Enable SCC function
2. Trigger device error event
3. Monitor communication with server</t>
        </is>
      </c>
      <c r="F29" s="62" t="inlineStr">
        <is>
          <t>MFP should immediately notify event to server</t>
        </is>
      </c>
      <c r="G29" s="58" t="inlineStr"/>
      <c r="H29" s="59" t="inlineStr"/>
      <c r="I29" s="53" t="n"/>
    </row>
    <row r="30" ht="99.75" customHeight="1">
      <c r="B30" s="57" t="inlineStr">
        <is>
          <t>TC025</t>
        </is>
      </c>
      <c r="C30" s="60" t="inlineStr">
        <is>
          <t>SCC function is enabled, 08-3827 is NULL</t>
        </is>
      </c>
      <c r="D30" s="70" t="inlineStr">
        <is>
          <t>Verify default server connection</t>
        </is>
      </c>
      <c r="E30" s="61" t="inlineStr">
        <is>
          <t>1. Set 08-3827 to NULL
2. Enable SCC function
3. Reboot MFP
4. Monitor server connection</t>
        </is>
      </c>
      <c r="F30" s="62" t="inlineStr">
        <is>
          <t>MFP should connect to NA server (edevice.Tprinters-solutions.com)</t>
        </is>
      </c>
      <c r="G30" s="58" t="inlineStr"/>
      <c r="H30" s="59" t="inlineStr"/>
      <c r="I30" s="53" t="n"/>
    </row>
    <row r="31" ht="99.75" customHeight="1">
      <c r="B31" s="57" t="inlineStr">
        <is>
          <t>TC026</t>
        </is>
      </c>
      <c r="C31" s="60" t="inlineStr">
        <is>
          <t>SCC function is enabled, 08-3827 contains valid URL</t>
        </is>
      </c>
      <c r="D31" s="70" t="inlineStr">
        <is>
          <t>Verify custom server connection</t>
        </is>
      </c>
      <c r="E31" s="61" t="inlineStr">
        <is>
          <t>1. Set 08-3827 to valid URL
2. Enable SCC function
3. Reboot MFP
4. Monitor server connection</t>
        </is>
      </c>
      <c r="F31" s="62" t="inlineStr">
        <is>
          <t>MFP should connect to specified URL</t>
        </is>
      </c>
      <c r="G31" s="58" t="inlineStr"/>
      <c r="H31" s="59" t="inlineStr"/>
      <c r="I31" s="53" t="n"/>
    </row>
    <row r="32" ht="99.75" customHeight="1">
      <c r="B32" s="57" t="inlineStr">
        <is>
          <t>TC027</t>
        </is>
      </c>
      <c r="C32" s="60" t="inlineStr">
        <is>
          <t>SCC function is enabled, 08-3827 contains invalid URL format</t>
        </is>
      </c>
      <c r="D32" s="70" t="inlineStr">
        <is>
          <t>Verify behavior with invalid URL format</t>
        </is>
      </c>
      <c r="E32" s="61" t="inlineStr">
        <is>
          <t>1. Set 08-3827 to value not starting with "http://" or "https://"
2. Enable SCC function
3. Reboot MFP
4. Monitor communication</t>
        </is>
      </c>
      <c r="F32" s="62" t="inlineStr">
        <is>
          <t>Network error should occur, MFP should not access NA server</t>
        </is>
      </c>
      <c r="G32" s="58" t="inlineStr"/>
      <c r="H32" s="59" t="inlineStr"/>
      <c r="I32" s="53" t="n"/>
    </row>
    <row r="33" ht="99.75" customHeight="1">
      <c r="B33" s="57" t="inlineStr">
        <is>
          <t>TC028</t>
        </is>
      </c>
      <c r="C33" s="60" t="inlineStr">
        <is>
          <t>SCC function is enabled, 08-3827 contains unreachable URL</t>
        </is>
      </c>
      <c r="D33" s="70" t="inlineStr">
        <is>
          <t>Verify behavior with unreachable URL</t>
        </is>
      </c>
      <c r="E33" s="61" t="inlineStr">
        <is>
          <t>1. Set 08-3827 to valid but unreachable URL
2. Enable SCC function
3. Reboot MFP
4. Monitor communication</t>
        </is>
      </c>
      <c r="F33" s="62" t="inlineStr">
        <is>
          <t>MFP should attempt to access specified URL, network error should occur, MFP should not access NA server</t>
        </is>
      </c>
      <c r="G33" s="58" t="inlineStr"/>
      <c r="H33" s="59" t="inlineStr"/>
      <c r="I33" s="53" t="n"/>
    </row>
    <row r="34" ht="99.75" customHeight="1">
      <c r="B34" s="57" t="inlineStr">
        <is>
          <t>TC029</t>
        </is>
      </c>
      <c r="C34" s="60" t="inlineStr">
        <is>
          <t>SCC function is enabled, 08-3827 is NULL, 08-3828 is 0</t>
        </is>
      </c>
      <c r="D34" s="70" t="inlineStr">
        <is>
          <t>Verify URL redirection with forwarding disabled</t>
        </is>
      </c>
      <c r="E34" s="61" t="inlineStr">
        <is>
          <t>1. Set 08-3827 to NULL
2. Set 08-3828 to 0 (Disable)
3. Enable SCC function
4. Reboot MFP
5. Monitor communication</t>
        </is>
      </c>
      <c r="F34" s="62" t="inlineStr">
        <is>
          <t>If server returns other URL, registration error should occur</t>
        </is>
      </c>
      <c r="G34" s="58" t="inlineStr"/>
      <c r="H34" s="59" t="inlineStr"/>
      <c r="I34" s="53" t="n"/>
    </row>
    <row r="35" ht="99.75" customHeight="1">
      <c r="B35" s="57" t="inlineStr">
        <is>
          <t>TC030</t>
        </is>
      </c>
      <c r="C35" s="60" t="inlineStr">
        <is>
          <t>SCC function is enabled, 08-3827 is NULL, 08-3828 is 1</t>
        </is>
      </c>
      <c r="D35" s="70" t="inlineStr">
        <is>
          <t>Verify URL redirection with forwarding enabled</t>
        </is>
      </c>
      <c r="E35" s="61" t="inlineStr">
        <is>
          <t>1. Set 08-3827 to NULL
2. Set 08-3828 to 1 (Enable)
3. Enable SCC function
4. Reboot MFP
5. Monitor communication</t>
        </is>
      </c>
      <c r="F35" s="62" t="inlineStr">
        <is>
          <t>If server returns other URL, MFP should access returned URL</t>
        </is>
      </c>
      <c r="G35" s="58" t="inlineStr"/>
      <c r="H35" s="59" t="inlineStr"/>
      <c r="I35" s="53" t="n"/>
    </row>
    <row r="36" ht="99.75" customHeight="1">
      <c r="B36" s="57" t="inlineStr">
        <is>
          <t>TC031</t>
        </is>
      </c>
      <c r="C36" s="60" t="inlineStr">
        <is>
          <t>SCC function is enabled, HTTPS URL specified without imported certificate</t>
        </is>
      </c>
      <c r="D36" s="70" t="inlineStr">
        <is>
          <t>Verify HTTPS behavior without certificate</t>
        </is>
      </c>
      <c r="E36" s="61" t="inlineStr">
        <is>
          <t>1. Set 08-3827 to HTTPS URL requiring certificate not in MFP
2. Enable SCC function
3. Reboot MFP
4. Monitor communication</t>
        </is>
      </c>
      <c r="F36" s="62" t="inlineStr">
        <is>
          <t>Communication should fail</t>
        </is>
      </c>
      <c r="G36" s="58" t="inlineStr"/>
      <c r="H36" s="59" t="inlineStr"/>
      <c r="I36" s="53" t="n"/>
    </row>
    <row r="37" ht="99.75" customHeight="1">
      <c r="B37" s="57" t="inlineStr">
        <is>
          <t>TC032</t>
        </is>
      </c>
      <c r="C37" s="60" t="inlineStr">
        <is>
          <t>SCC function is enabled</t>
        </is>
      </c>
      <c r="D37" s="70" t="inlineStr">
        <is>
          <t>Verify communication at SCC process startup</t>
        </is>
      </c>
      <c r="E37" s="61" t="inlineStr">
        <is>
          <t>1. Enable SCC function
2. Reboot MFP
3. Monitor communication</t>
        </is>
      </c>
      <c r="F37" s="62" t="inlineStr">
        <is>
          <t>MFP should communicate with server at SCC process startup</t>
        </is>
      </c>
      <c r="G37" s="58" t="inlineStr"/>
      <c r="H37" s="59" t="inlineStr"/>
      <c r="I37" s="53" t="n"/>
    </row>
    <row r="38" ht="99.75" customHeight="1">
      <c r="B38" s="57" t="inlineStr">
        <is>
          <t>TC033</t>
        </is>
      </c>
      <c r="C38" s="60" t="inlineStr">
        <is>
          <t>SCC function is enabled, daily schedule configured</t>
        </is>
      </c>
      <c r="D38" s="70" t="inlineStr">
        <is>
          <t>Verify daily schedule communication</t>
        </is>
      </c>
      <c r="E38" s="61" t="inlineStr">
        <is>
          <t>1. Set SCC to communicate daily at specific time
2. Enable SCC function
3. Monitor communication at scheduled time</t>
        </is>
      </c>
      <c r="F38" s="62" t="inlineStr">
        <is>
          <t>MFP should communicate with server at specified time every day</t>
        </is>
      </c>
      <c r="G38" s="58" t="inlineStr"/>
      <c r="H38" s="59" t="inlineStr"/>
      <c r="I38" s="53" t="n"/>
    </row>
    <row r="39" ht="99.75" customHeight="1">
      <c r="B39" s="57" t="inlineStr">
        <is>
          <t>TC034</t>
        </is>
      </c>
      <c r="C39" s="60" t="inlineStr">
        <is>
          <t>SCC function is enabled, weekly schedule configured</t>
        </is>
      </c>
      <c r="D39" s="70" t="inlineStr">
        <is>
          <t>Verify weekly schedule communication</t>
        </is>
      </c>
      <c r="E39" s="61" t="inlineStr">
        <is>
          <t>1. Set SCC to communicate weekly at specific day and time
2. Enable SCC function
3. Monitor communication at scheduled time</t>
        </is>
      </c>
      <c r="F39" s="62" t="inlineStr">
        <is>
          <t>MFP should communicate with server at specified day and time every week</t>
        </is>
      </c>
      <c r="G39" s="58" t="inlineStr"/>
      <c r="H39" s="59" t="inlineStr"/>
      <c r="I39" s="53" t="n"/>
    </row>
    <row r="40" ht="99.75" customHeight="1">
      <c r="B40" s="57" t="inlineStr">
        <is>
          <t>TC035</t>
        </is>
      </c>
      <c r="C40" s="60" t="inlineStr">
        <is>
          <t>SCC function is enabled, interval schedule configured</t>
        </is>
      </c>
      <c r="D40" s="70" t="inlineStr">
        <is>
          <t>Verify interval schedule communication</t>
        </is>
      </c>
      <c r="E40" s="61" t="inlineStr">
        <is>
          <t>1. Set SCC to communicate at specific interval (e.g., 30 min)
2. Enable SCC function
3. Monitor communication</t>
        </is>
      </c>
      <c r="F40" s="62" t="inlineStr">
        <is>
          <t>MFP should communicate with server at specified intervals</t>
        </is>
      </c>
      <c r="G40" s="58" t="inlineStr"/>
      <c r="H40" s="59" t="inlineStr"/>
      <c r="I40" s="53" t="n"/>
    </row>
    <row r="41" ht="99.75" customHeight="1">
      <c r="B41" s="57" t="inlineStr">
        <is>
          <t>TC036</t>
        </is>
      </c>
      <c r="C41" s="60" t="inlineStr">
        <is>
          <t>SCC function is enabled, MFP not registered</t>
        </is>
      </c>
      <c r="D41" s="70" t="inlineStr">
        <is>
          <t>Verify first-time registration sequence</t>
        </is>
      </c>
      <c r="E41" s="61" t="inlineStr">
        <is>
          <t>1. Enable SCC function on unregistered MFP
2. Reboot MFP
3. Monitor registration sequence</t>
        </is>
      </c>
      <c r="F41" s="62" t="inlineStr">
        <is>
          <t>MFP should register with server using secret question authentication</t>
        </is>
      </c>
      <c r="G41" s="58" t="inlineStr"/>
      <c r="H41" s="59" t="inlineStr"/>
      <c r="I41" s="53" t="n"/>
    </row>
    <row r="42" ht="99.75" customHeight="1">
      <c r="B42" s="57" t="inlineStr">
        <is>
          <t>TC037</t>
        </is>
      </c>
      <c r="C42" s="60" t="inlineStr">
        <is>
          <t>SCC function is enabled, MFP registered</t>
        </is>
      </c>
      <c r="D42" s="70" t="inlineStr">
        <is>
          <t>Verify subsequent authentication sequence</t>
        </is>
      </c>
      <c r="E42" s="61" t="inlineStr">
        <is>
          <t>1. Enable SCC function on registered MFP
2. Reboot MFP
3. Monitor authentication sequence</t>
        </is>
      </c>
      <c r="F42" s="62" t="inlineStr">
        <is>
          <t>MFP should authenticate with server using token</t>
        </is>
      </c>
      <c r="G42" s="58" t="inlineStr"/>
      <c r="H42" s="59" t="inlineStr"/>
      <c r="I42" s="53" t="n"/>
    </row>
    <row r="43" ht="99.75" customHeight="1">
      <c r="B43" s="57" t="inlineStr">
        <is>
          <t>TC038</t>
        </is>
      </c>
      <c r="C43" s="60" t="inlineStr">
        <is>
          <t>SCC function is enabled, server is busy</t>
        </is>
      </c>
      <c r="D43" s="70" t="inlineStr">
        <is>
          <t>Verify server busy handling</t>
        </is>
      </c>
      <c r="E43" s="61" t="inlineStr">
        <is>
          <t>1. Configure test environment where server responds with busy status
2. Enable SCC function
3. Reboot MFP
4. Monitor retry behavior</t>
        </is>
      </c>
      <c r="F43" s="62" t="inlineStr">
        <is>
          <t>MFP should retry connection according to retry policy</t>
        </is>
      </c>
      <c r="G43" s="58" t="inlineStr"/>
      <c r="H43" s="59" t="inlineStr"/>
      <c r="I43" s="53" t="n"/>
    </row>
    <row r="44" ht="99.75" customHeight="1">
      <c r="B44" s="57" t="inlineStr">
        <is>
          <t>TC039</t>
        </is>
      </c>
      <c r="C44" s="60" t="inlineStr">
        <is>
          <t>SCC function is enabled, MFP registration fails</t>
        </is>
      </c>
      <c r="D44" s="70" t="inlineStr">
        <is>
          <t>Verify registration failure handling</t>
        </is>
      </c>
      <c r="E44" s="61" t="inlineStr">
        <is>
          <t>1. Configure test environment where registration fails
2. Enable SCC function
3. Reboot MFP
4. Monitor behavior</t>
        </is>
      </c>
      <c r="F44" s="62" t="inlineStr">
        <is>
          <t>After 3 consecutive failures, MFP should exit communication cycle and print Installation Report</t>
        </is>
      </c>
      <c r="G44" s="58" t="inlineStr"/>
      <c r="H44" s="59" t="inlineStr"/>
      <c r="I44" s="53" t="n"/>
    </row>
    <row r="45" ht="99.75" customHeight="1">
      <c r="B45" s="57" t="inlineStr">
        <is>
          <t>TC040</t>
        </is>
      </c>
      <c r="C45" s="60" t="inlineStr">
        <is>
          <t>SCC function is enabled, communication error during Register Device</t>
        </is>
      </c>
      <c r="D45" s="70" t="inlineStr">
        <is>
          <t>Verify retry behavior for Register Device</t>
        </is>
      </c>
      <c r="E45" s="61" t="inlineStr">
        <is>
          <t>1. Cause communication error during Register Device
2. Monitor retry behavior</t>
        </is>
      </c>
      <c r="F45" s="62" t="inlineStr">
        <is>
          <t>MFP should follow retry processing protocol</t>
        </is>
      </c>
      <c r="G45" s="58" t="inlineStr"/>
      <c r="H45" s="59" t="inlineStr"/>
      <c r="I45" s="53" t="n"/>
    </row>
    <row r="46" ht="99.75" customHeight="1">
      <c r="B46" s="57" t="inlineStr">
        <is>
          <t>TC041</t>
        </is>
      </c>
      <c r="C46" s="60" t="inlineStr">
        <is>
          <t>SCC function is enabled, power failure during Register Device</t>
        </is>
      </c>
      <c r="D46" s="70" t="inlineStr">
        <is>
          <t>Verify power failure handling during Register Device</t>
        </is>
      </c>
      <c r="E46" s="61" t="inlineStr">
        <is>
          <t>1. Cause power failure during Register Device
2. Restore power
3. Monitor behavior</t>
        </is>
      </c>
      <c r="F46" s="62" t="inlineStr">
        <is>
          <t>MFP should communicate with server at next power on without recovery processing</t>
        </is>
      </c>
      <c r="G46" s="58" t="inlineStr"/>
      <c r="H46" s="59" t="inlineStr"/>
      <c r="I46" s="53" t="n"/>
    </row>
    <row r="47" ht="99.75" customHeight="1">
      <c r="B47" s="57" t="inlineStr">
        <is>
          <t>TC042</t>
        </is>
      </c>
      <c r="C47" s="60" t="inlineStr">
        <is>
          <t>SCC function is enabled, MFP registered</t>
        </is>
      </c>
      <c r="D47" s="70" t="inlineStr">
        <is>
          <t>Verify Check for Updates sequence</t>
        </is>
      </c>
      <c r="E47" s="61" t="inlineStr">
        <is>
          <t>1. Enable SCC function on registered MFP
2. Reboot MFP
3. Monitor Check for Updates sequence</t>
        </is>
      </c>
      <c r="F47" s="62" t="inlineStr">
        <is>
          <t>MFP should check for updates after successful Register Device</t>
        </is>
      </c>
      <c r="G47" s="58" t="inlineStr"/>
      <c r="H47" s="59" t="inlineStr"/>
      <c r="I47" s="53" t="n"/>
    </row>
    <row r="48" ht="99.75" customHeight="1">
      <c r="B48" s="57" t="inlineStr">
        <is>
          <t>TC043</t>
        </is>
      </c>
      <c r="C48" s="60" t="inlineStr">
        <is>
          <t>SCC function is enabled, invalid token returned</t>
        </is>
      </c>
      <c r="D48" s="70" t="inlineStr">
        <is>
          <t>Verify invalid token handling</t>
        </is>
      </c>
      <c r="E48" s="61" t="inlineStr">
        <is>
          <t>1. Configure test environment where server returns INVALID_TOKEN
2. Enable SCC function
3. Reboot MFP
4. Monitor behavior</t>
        </is>
      </c>
      <c r="F48" s="62" t="inlineStr">
        <is>
          <t>MFP should exit communication cycle and wait for next schedule</t>
        </is>
      </c>
      <c r="G48" s="58" t="inlineStr"/>
      <c r="H48" s="59" t="inlineStr"/>
      <c r="I48" s="53" t="n"/>
    </row>
    <row r="49" ht="99.75" customHeight="1">
      <c r="B49" s="57" t="inlineStr">
        <is>
          <t>TC044</t>
        </is>
      </c>
      <c r="C49" s="60" t="inlineStr">
        <is>
          <t>SCC function is enabled, communication error during Check for Updates</t>
        </is>
      </c>
      <c r="D49" s="70" t="inlineStr">
        <is>
          <t>Verify retry behavior for Check for Updates</t>
        </is>
      </c>
      <c r="E49" s="61" t="inlineStr">
        <is>
          <t>1. Cause communication error during Check for Updates
2. Monitor retry behavior</t>
        </is>
      </c>
      <c r="F49" s="62" t="inlineStr">
        <is>
          <t>MFP should follow retry processing protocol</t>
        </is>
      </c>
      <c r="G49" s="58" t="inlineStr"/>
      <c r="H49" s="59" t="inlineStr"/>
      <c r="I49" s="53" t="n"/>
    </row>
    <row r="50" ht="99.75" customHeight="1">
      <c r="B50" s="57" t="inlineStr">
        <is>
          <t>TC045</t>
        </is>
      </c>
      <c r="C50" s="60" t="inlineStr">
        <is>
          <t>SCC function is enabled, power failure during Check for Updates</t>
        </is>
      </c>
      <c r="D50" s="70" t="inlineStr">
        <is>
          <t>Verify power failure handling during Check for Updates</t>
        </is>
      </c>
      <c r="E50" s="61" t="inlineStr">
        <is>
          <t>1. Cause power failure during Check for Updates
2. Restore power
3. Monitor behavior</t>
        </is>
      </c>
      <c r="F50" s="62" t="inlineStr">
        <is>
          <t>MFP should communicate with server at next power on without recovery processing</t>
        </is>
      </c>
      <c r="G50" s="58" t="inlineStr"/>
      <c r="H50" s="59" t="inlineStr"/>
      <c r="I50" s="53" t="n"/>
    </row>
    <row r="51" ht="99.75" customHeight="1">
      <c r="B51" s="57" t="inlineStr">
        <is>
          <t>TC046</t>
        </is>
      </c>
      <c r="C51" s="60" t="inlineStr">
        <is>
          <t>SCC function is enabled, update available</t>
        </is>
      </c>
      <c r="D51" s="70" t="inlineStr">
        <is>
          <t>Verify Download Package sequence</t>
        </is>
      </c>
      <c r="E51" s="61" t="inlineStr">
        <is>
          <t>1. Configure server to indicate update available
2. Enable SCC function
3. Reboot MFP
4. Monitor Download Package sequence</t>
        </is>
      </c>
      <c r="F51" s="62" t="inlineStr">
        <is>
          <t>MFP should download update package after Check for Updates indicates update available</t>
        </is>
      </c>
      <c r="G51" s="58" t="inlineStr"/>
      <c r="H51" s="59" t="inlineStr"/>
      <c r="I51" s="53" t="n"/>
    </row>
    <row r="52" ht="99.75" customHeight="1">
      <c r="B52" s="57" t="inlineStr">
        <is>
          <t>TC047</t>
        </is>
      </c>
      <c r="C52" s="60" t="inlineStr">
        <is>
          <t>SCC function is enabled, firmware update package available</t>
        </is>
      </c>
      <c r="D52" s="70" t="inlineStr">
        <is>
          <t>Verify firmware update package download</t>
        </is>
      </c>
      <c r="E52" s="61" t="inlineStr">
        <is>
          <t>1. Configure server to provide firmware update package
2. Enable SCC function
3. Reboot MFP
4. Monitor download</t>
        </is>
      </c>
      <c r="F52" s="62" t="inlineStr">
        <is>
          <t>MFP should download firmware update package</t>
        </is>
      </c>
      <c r="G52" s="58" t="inlineStr"/>
      <c r="H52" s="59" t="inlineStr"/>
      <c r="I52" s="53" t="n"/>
    </row>
    <row r="53" ht="99.75" customHeight="1">
      <c r="B53" s="57" t="inlineStr">
        <is>
          <t>TC048</t>
        </is>
      </c>
      <c r="C53" s="60" t="inlineStr">
        <is>
          <t>SCC function is enabled, customized UI package available</t>
        </is>
      </c>
      <c r="D53" s="70" t="inlineStr">
        <is>
          <t>Verify customized UI package download</t>
        </is>
      </c>
      <c r="E53" s="61" t="inlineStr">
        <is>
          <t>1. Configure server to provide customized UI package
2. Enable SCC function
3. Reboot MFP
4. Monitor download</t>
        </is>
      </c>
      <c r="F53" s="62" t="inlineStr">
        <is>
          <t>MFP should download customized UI package</t>
        </is>
      </c>
      <c r="G53" s="58" t="inlineStr"/>
      <c r="H53" s="59" t="inlineStr"/>
      <c r="I53" s="53" t="n"/>
    </row>
    <row r="54" ht="99.75" customHeight="1">
      <c r="B54" s="57" t="inlineStr">
        <is>
          <t>TC049</t>
        </is>
      </c>
      <c r="C54" s="60" t="inlineStr">
        <is>
          <t>SCC function is enabled, application package available</t>
        </is>
      </c>
      <c r="D54" s="70" t="inlineStr">
        <is>
          <t>Verify application package download</t>
        </is>
      </c>
      <c r="E54" s="61" t="inlineStr">
        <is>
          <t>1. Configure server to provide application package
2. Enable SCC function
3. Reboot MFP
4. Monitor download</t>
        </is>
      </c>
      <c r="F54" s="62" t="inlineStr">
        <is>
          <t>MFP should download application package</t>
        </is>
      </c>
      <c r="G54" s="58" t="inlineStr"/>
      <c r="H54" s="59" t="inlineStr"/>
      <c r="I54" s="53" t="n"/>
    </row>
    <row r="55" ht="99.75" customHeight="1">
      <c r="B55" s="57" t="inlineStr">
        <is>
          <t>TC050</t>
        </is>
      </c>
      <c r="C55" s="60" t="inlineStr">
        <is>
          <t>SCC function is enabled, license package available</t>
        </is>
      </c>
      <c r="D55" s="70" t="inlineStr">
        <is>
          <t>Verify license package download</t>
        </is>
      </c>
      <c r="E55" s="61" t="inlineStr">
        <is>
          <t>1. Configure server to provide license package
2. Enable SCC function
3. Reboot MFP
4. Monitor download</t>
        </is>
      </c>
      <c r="F55" s="62" t="inlineStr">
        <is>
          <t>MFP should download license package</t>
        </is>
      </c>
      <c r="G55" s="58" t="inlineStr"/>
      <c r="H55" s="59" t="inlineStr"/>
      <c r="I55" s="53" t="n"/>
    </row>
    <row r="56" ht="99.75" customHeight="1">
      <c r="B56" s="57" t="inlineStr">
        <is>
          <t>TC051</t>
        </is>
      </c>
      <c r="C56" s="60" t="inlineStr">
        <is>
          <t>SCC function is enabled, localization package available</t>
        </is>
      </c>
      <c r="D56" s="70" t="inlineStr">
        <is>
          <t>Verify localization package download</t>
        </is>
      </c>
      <c r="E56" s="61" t="inlineStr">
        <is>
          <t>1. Configure server to provide localization package
2. Enable SCC function
3. Reboot MFP
4. Monitor download</t>
        </is>
      </c>
      <c r="F56" s="62" t="inlineStr">
        <is>
          <t>MFP should download localization package</t>
        </is>
      </c>
      <c r="G56" s="58" t="inlineStr"/>
      <c r="H56" s="59" t="inlineStr"/>
      <c r="I56" s="53" t="n"/>
    </row>
    <row r="57" ht="99.75" customHeight="1">
      <c r="B57" s="57" t="inlineStr">
        <is>
          <t>TC052</t>
        </is>
      </c>
      <c r="C57" s="60" t="inlineStr">
        <is>
          <t>SCC function is enabled, user paper type package available</t>
        </is>
      </c>
      <c r="D57" s="70" t="inlineStr">
        <is>
          <t>Verify user paper type package download</t>
        </is>
      </c>
      <c r="E57" s="61" t="inlineStr">
        <is>
          <t>1. Configure server to provide user paper type package
2. Enable SCC function
3. Reboot MFP
4. Monitor download</t>
        </is>
      </c>
      <c r="F57" s="62" t="inlineStr">
        <is>
          <t>MFP should download user paper type package</t>
        </is>
      </c>
      <c r="G57" s="58" t="inlineStr"/>
      <c r="H57" s="59" t="inlineStr"/>
      <c r="I57" s="53" t="n"/>
    </row>
    <row r="58" ht="99.75" customHeight="1">
      <c r="B58" s="57" t="inlineStr">
        <is>
          <t>TC053</t>
        </is>
      </c>
      <c r="C58" s="60" t="inlineStr">
        <is>
          <t>SCC function is enabled, clone file package available</t>
        </is>
      </c>
      <c r="D58" s="70" t="inlineStr">
        <is>
          <t>Verify clone file package download</t>
        </is>
      </c>
      <c r="E58" s="61" t="inlineStr">
        <is>
          <t>1. Configure server to provide clone file package
2. Enable SCC function
3. Reboot MFP
4. Monitor download</t>
        </is>
      </c>
      <c r="F58" s="62" t="inlineStr">
        <is>
          <t>MFP should download clone file package with clone data included</t>
        </is>
      </c>
      <c r="G58" s="58" t="inlineStr"/>
      <c r="H58" s="59" t="inlineStr"/>
      <c r="I58" s="53" t="n"/>
    </row>
    <row r="59" ht="99.75" customHeight="1">
      <c r="B59" s="57" t="inlineStr">
        <is>
          <t>TC054</t>
        </is>
      </c>
      <c r="C59" s="60" t="inlineStr">
        <is>
          <t>SCC function is enabled, communication error during package download</t>
        </is>
      </c>
      <c r="D59" s="70" t="inlineStr">
        <is>
          <t>Verify retry behavior for Download Package</t>
        </is>
      </c>
      <c r="E59" s="61" t="inlineStr">
        <is>
          <t>1. Cause communication error during Download Package
2. Monitor retry behavior</t>
        </is>
      </c>
      <c r="F59" s="62" t="inlineStr">
        <is>
          <t>MFP should delete downloaded data and follow retry processing protocol</t>
        </is>
      </c>
      <c r="G59" s="58" t="inlineStr"/>
      <c r="H59" s="59" t="inlineStr"/>
      <c r="I59" s="53" t="n"/>
    </row>
    <row r="60" ht="99.75" customHeight="1">
      <c r="B60" s="57" t="inlineStr">
        <is>
          <t>TC055</t>
        </is>
      </c>
      <c r="C60" s="60" t="inlineStr">
        <is>
          <t>SCC function is enabled, power failure during package download</t>
        </is>
      </c>
      <c r="D60" s="70" t="inlineStr">
        <is>
          <t>Verify power failure handling during Download Package</t>
        </is>
      </c>
      <c r="E60" s="61" t="inlineStr">
        <is>
          <t>1. Cause power failure during Download Package
2. Restore power
3. Monitor behavior</t>
        </is>
      </c>
      <c r="F60" s="62" t="inlineStr">
        <is>
          <t>MFP should delete downloaded data before communication at next start-up</t>
        </is>
      </c>
      <c r="G60" s="58" t="inlineStr"/>
      <c r="H60" s="59" t="inlineStr"/>
      <c r="I60" s="53" t="n"/>
    </row>
    <row r="61" ht="99.75" customHeight="1">
      <c r="B61" s="57" t="inlineStr">
        <is>
          <t>TC056</t>
        </is>
      </c>
      <c r="C61" s="60" t="inlineStr">
        <is>
          <t>SCC function is enabled, HDD full during package download</t>
        </is>
      </c>
      <c r="D61" s="70" t="inlineStr">
        <is>
          <t>Verify HDD full handling during Download Package</t>
        </is>
      </c>
      <c r="E61" s="61" t="inlineStr">
        <is>
          <t>1. Fill HDD to capacity
2. Trigger package download
3. Monitor behavior</t>
        </is>
      </c>
      <c r="F61" s="62" t="inlineStr">
        <is>
          <t>MFP should delete downloaded data, exit communication cycle, and wait for next schedule</t>
        </is>
      </c>
      <c r="G61" s="58" t="inlineStr"/>
      <c r="H61" s="59" t="inlineStr"/>
      <c r="I61" s="53" t="n"/>
    </row>
    <row r="62" ht="99.75" customHeight="1">
      <c r="B62" s="57" t="inlineStr">
        <is>
          <t>TC057</t>
        </is>
      </c>
      <c r="C62" s="60" t="inlineStr">
        <is>
          <t>SCC function is enabled, hash value mismatch for downloaded package</t>
        </is>
      </c>
      <c r="D62" s="70" t="inlineStr">
        <is>
          <t>Verify hash validation for Download Package</t>
        </is>
      </c>
      <c r="E62" s="61" t="inlineStr">
        <is>
          <t>1. Configure test environment where downloaded package has incorrect hash
2. Enable SCC function
3. Reboot MFP
4. Monitor behavior</t>
        </is>
      </c>
      <c r="F62" s="62" t="inlineStr">
        <is>
          <t>MFP should delete downloaded data, exit communication cycle, and wait for next schedule</t>
        </is>
      </c>
      <c r="G62" s="58" t="inlineStr"/>
      <c r="H62" s="59" t="inlineStr"/>
      <c r="I62" s="53" t="n"/>
    </row>
    <row r="63" ht="99.75" customHeight="1">
      <c r="B63" s="57" t="inlineStr">
        <is>
          <t>TC058</t>
        </is>
      </c>
      <c r="C63" s="60" t="inlineStr">
        <is>
          <t>SCC function is enabled, unzip failure for downloaded package</t>
        </is>
      </c>
      <c r="D63" s="70" t="inlineStr">
        <is>
          <t>Verify unzip failure handling</t>
        </is>
      </c>
      <c r="E63" s="61" t="inlineStr">
        <is>
          <t>1. Configure test environment where downloaded package cannot be unzipped
2. Enable SCC function
3. Reboot MFP
4. Monitor behavior</t>
        </is>
      </c>
      <c r="F63" s="62" t="inlineStr">
        <is>
          <t>MFP should delete unzipped data, exit communication cycle, and wait for next schedule</t>
        </is>
      </c>
      <c r="G63" s="58" t="inlineStr"/>
      <c r="H63" s="59" t="inlineStr"/>
      <c r="I63" s="53" t="n"/>
    </row>
    <row r="64" ht="99.75" customHeight="1">
      <c r="B64" s="57" t="inlineStr">
        <is>
          <t>TC059</t>
        </is>
      </c>
      <c r="C64" s="60" t="inlineStr">
        <is>
          <t>SCC function is enabled, MFP registered</t>
        </is>
      </c>
      <c r="D64" s="70" t="inlineStr">
        <is>
          <t>Verify Send Baseline Data sequence</t>
        </is>
      </c>
      <c r="E64" s="61" t="inlineStr">
        <is>
          <t>1. Enable SCC function on registered MFP
2. Reboot MFP
3. Monitor Send Baseline Data sequence</t>
        </is>
      </c>
      <c r="F64" s="62" t="inlineStr">
        <is>
          <t>MFP should send baseline data after Download Package</t>
        </is>
      </c>
      <c r="G64" s="58" t="inlineStr"/>
      <c r="H64" s="59" t="inlineStr"/>
      <c r="I64" s="53" t="n"/>
    </row>
    <row r="65" ht="99.75" customHeight="1">
      <c r="B65" s="57" t="inlineStr">
        <is>
          <t>TC060</t>
        </is>
      </c>
      <c r="C65" s="60" t="inlineStr">
        <is>
          <t>SCC function is enabled, Print Log SendDataConfig enabled</t>
        </is>
      </c>
      <c r="D65" s="70" t="inlineStr">
        <is>
          <t>Verify Print Log collection in baseline data</t>
        </is>
      </c>
      <c r="E65" s="61" t="inlineStr">
        <is>
          <t>1. Configure server to enable Print Log SendDataConfig
2. Enable SCC function
3. Reboot MFP
4. Monitor baseline data</t>
        </is>
      </c>
      <c r="F65" s="62" t="inlineStr">
        <is>
          <t>Print Log should be included in baseline data</t>
        </is>
      </c>
      <c r="G65" s="58" t="inlineStr"/>
      <c r="H65" s="59" t="inlineStr"/>
      <c r="I65" s="53" t="n"/>
    </row>
    <row r="66" ht="99.75" customHeight="1">
      <c r="B66" s="57" t="inlineStr">
        <is>
          <t>TC061</t>
        </is>
      </c>
      <c r="C66" s="60" t="inlineStr">
        <is>
          <t>SCC function is enabled, Scan Log SendDataConfig enabled</t>
        </is>
      </c>
      <c r="D66" s="70" t="inlineStr">
        <is>
          <t>Verify Scan Log collection in baseline data</t>
        </is>
      </c>
      <c r="E66" s="61" t="inlineStr">
        <is>
          <t>1. Configure server to enable Scan Log SendDataConfig
2. Enable SCC function
3. Reboot MFP
4. Monitor baseline data</t>
        </is>
      </c>
      <c r="F66" s="62" t="inlineStr">
        <is>
          <t>Scan Log should be included in baseline data</t>
        </is>
      </c>
      <c r="G66" s="58" t="inlineStr"/>
      <c r="H66" s="59" t="inlineStr"/>
      <c r="I66" s="53" t="n"/>
    </row>
    <row r="67" ht="99.75" customHeight="1">
      <c r="B67" s="57" t="inlineStr">
        <is>
          <t>TC062</t>
        </is>
      </c>
      <c r="C67" s="60" t="inlineStr">
        <is>
          <t>SCC function is enabled, Message Log SendDataConfig enabled</t>
        </is>
      </c>
      <c r="D67" s="70" t="inlineStr">
        <is>
          <t>Verify Message Log collection in baseline data</t>
        </is>
      </c>
      <c r="E67" s="61" t="inlineStr">
        <is>
          <t>1. Configure server to enable Message Log SendDataConfig
2. Enable SCC function
3. Reboot MFP
4. Monitor baseline data</t>
        </is>
      </c>
      <c r="F67" s="62" t="inlineStr">
        <is>
          <t>Message Log should be included in baseline data</t>
        </is>
      </c>
      <c r="G67" s="58" t="inlineStr"/>
      <c r="H67" s="59" t="inlineStr"/>
      <c r="I67" s="53" t="n"/>
    </row>
    <row r="68" ht="99.75" customHeight="1">
      <c r="B68" s="57" t="inlineStr">
        <is>
          <t>TC063</t>
        </is>
      </c>
      <c r="C68" s="60" t="inlineStr">
        <is>
          <t>SCC function is enabled, Security Setting SendDataConfig enabled</t>
        </is>
      </c>
      <c r="D68" s="70" t="inlineStr">
        <is>
          <t>Verify Security Setting collection in baseline data</t>
        </is>
      </c>
      <c r="E68" s="61" t="inlineStr">
        <is>
          <t>1. Configure server to enable Security Setting SendDataConfig
2. Enable SCC function
3. Reboot MFP
4. Monitor baseline data</t>
        </is>
      </c>
      <c r="F68" s="62" t="inlineStr">
        <is>
          <t>Security Setting should be included in baseline data</t>
        </is>
      </c>
      <c r="G68" s="58" t="inlineStr"/>
      <c r="H68" s="59" t="inlineStr"/>
      <c r="I68" s="53" t="n"/>
    </row>
    <row r="69" ht="99.75" customHeight="1">
      <c r="B69" s="57" t="inlineStr">
        <is>
          <t>TC064</t>
        </is>
      </c>
      <c r="C69" s="60" t="inlineStr">
        <is>
          <t>SCC function is enabled, Default Setting SendDataConfig enabled</t>
        </is>
      </c>
      <c r="D69" s="70" t="inlineStr">
        <is>
          <t>Verify Default Setting collection in baseline data</t>
        </is>
      </c>
      <c r="E69" s="61" t="inlineStr">
        <is>
          <t>1. Configure server to enable Default Setting SendDataConfig
2. Enable SCC function
3. Reboot MFP
4. Monitor baseline data</t>
        </is>
      </c>
      <c r="F69" s="62" t="inlineStr">
        <is>
          <t>Default Setting should be included in baseline data</t>
        </is>
      </c>
      <c r="G69" s="58" t="inlineStr"/>
      <c r="H69" s="59" t="inlineStr"/>
      <c r="I69" s="53" t="n"/>
    </row>
    <row r="70" ht="99.75" customHeight="1">
      <c r="B70" s="57" t="inlineStr">
        <is>
          <t>TC065</t>
        </is>
      </c>
      <c r="C70" s="60" t="inlineStr">
        <is>
          <t>SCC function is enabled, User Management Setting SendDataConfig enabled</t>
        </is>
      </c>
      <c r="D70" s="70" t="inlineStr">
        <is>
          <t>Verify User Management Setting collection in baseline data</t>
        </is>
      </c>
      <c r="E70" s="61" t="inlineStr">
        <is>
          <t>1. Configure server to enable User Management Setting SendDataConfig
2. Enable SCC function
3. Reboot MFP
4. Monitor baseline data</t>
        </is>
      </c>
      <c r="F70" s="62" t="inlineStr">
        <is>
          <t>User Management Setting should be included in baseline data</t>
        </is>
      </c>
      <c r="G70" s="58" t="inlineStr"/>
      <c r="H70" s="59" t="inlineStr"/>
      <c r="I70" s="53" t="n"/>
    </row>
    <row r="71" ht="99.75" customHeight="1">
      <c r="B71" s="57" t="inlineStr">
        <is>
          <t>TC066</t>
        </is>
      </c>
      <c r="C71" s="60" t="inlineStr">
        <is>
          <t>SCC function is enabled, Network/Print Service Setting SendDataConfig enabled</t>
        </is>
      </c>
      <c r="D71" s="70" t="inlineStr">
        <is>
          <t>Verify Network/Print Service Setting collection in baseline data</t>
        </is>
      </c>
      <c r="E71" s="61" t="inlineStr">
        <is>
          <t>1. Configure server to enable Network/Print Service Setting SendDataConfig
2. Enable SCC function
3. Reboot MFP
4. Monitor baseline data</t>
        </is>
      </c>
      <c r="F71" s="62" t="inlineStr">
        <is>
          <t>Network/Print Service Setting should be included in baseline data</t>
        </is>
      </c>
      <c r="G71" s="58" t="inlineStr"/>
      <c r="H71" s="59" t="inlineStr"/>
      <c r="I71" s="53" t="n"/>
    </row>
    <row r="72" ht="99.75" customHeight="1">
      <c r="B72" s="57" t="inlineStr">
        <is>
          <t>TC067</t>
        </is>
      </c>
      <c r="C72" s="60" t="inlineStr">
        <is>
          <t>SCC function is enabled, Address Book Data SendDataConfig enabled</t>
        </is>
      </c>
      <c r="D72" s="70" t="inlineStr">
        <is>
          <t>Verify Address Book Data collection in baseline data</t>
        </is>
      </c>
      <c r="E72" s="61" t="inlineStr">
        <is>
          <t>1. Configure server to enable Address Book Data SendDataConfig
2. Enable SCC function
3. Reboot MFP
4. Monitor baseline data</t>
        </is>
      </c>
      <c r="F72" s="62" t="inlineStr">
        <is>
          <t>Address Book Data should be included in baseline data</t>
        </is>
      </c>
      <c r="G72" s="58" t="inlineStr"/>
      <c r="H72" s="59" t="inlineStr"/>
      <c r="I72" s="53" t="n"/>
    </row>
    <row r="73" ht="99.75" customHeight="1">
      <c r="B73" s="57" t="inlineStr">
        <is>
          <t>TC068</t>
        </is>
      </c>
      <c r="C73" s="60" t="inlineStr">
        <is>
          <t>SCC function is enabled, communication error during baseline data transmission</t>
        </is>
      </c>
      <c r="D73" s="70" t="inlineStr">
        <is>
          <t>Verify retry behavior for Send Baseline Data</t>
        </is>
      </c>
      <c r="E73" s="61" t="inlineStr">
        <is>
          <t>1. Cause communication error during Send Baseline Data
2. Monitor retry behavior</t>
        </is>
      </c>
      <c r="F73" s="62" t="inlineStr">
        <is>
          <t>MFP should delete baseline data and follow retry processing protocol</t>
        </is>
      </c>
      <c r="G73" s="58" t="inlineStr"/>
      <c r="H73" s="59" t="inlineStr"/>
      <c r="I73" s="53" t="n"/>
    </row>
    <row r="74" ht="99.75" customHeight="1">
      <c r="B74" s="57" t="inlineStr">
        <is>
          <t>TC069</t>
        </is>
      </c>
      <c r="C74" s="60" t="inlineStr">
        <is>
          <t>SCC function is enabled, power failure during baseline data transmission</t>
        </is>
      </c>
      <c r="D74" s="70" t="inlineStr">
        <is>
          <t>Verify power failure handling during Send Baseline Data</t>
        </is>
      </c>
      <c r="E74" s="61" t="inlineStr">
        <is>
          <t>1. Cause power failure during Send Baseline Data
2. Restore power
3. Monitor behavior</t>
        </is>
      </c>
      <c r="F74" s="62" t="inlineStr">
        <is>
          <t>MFP should delete baseline data before communication at next start-up</t>
        </is>
      </c>
      <c r="G74" s="58" t="inlineStr"/>
      <c r="H74" s="59" t="inlineStr"/>
      <c r="I74" s="53" t="n"/>
    </row>
    <row r="75" ht="99.75" customHeight="1">
      <c r="B75" s="57" t="inlineStr">
        <is>
          <t>TC070</t>
        </is>
      </c>
      <c r="C75" s="60" t="inlineStr">
        <is>
          <t>SCC function is enabled, failure obtaining MFP setting value</t>
        </is>
      </c>
      <c r="D75" s="70" t="inlineStr">
        <is>
          <t>Verify handling of missing setting values</t>
        </is>
      </c>
      <c r="E75" s="61" t="inlineStr">
        <is>
          <t>1. Configure test environment where some MFP settings cannot be obtained
2. Enable SCC function
3. Reboot MFP
4. Monitor behavior</t>
        </is>
      </c>
      <c r="F75" s="62" t="inlineStr">
        <is>
          <t>MFP should send baseline data with missing values, without special error processing</t>
        </is>
      </c>
      <c r="G75" s="58" t="inlineStr"/>
      <c r="H75" s="59" t="inlineStr"/>
      <c r="I75" s="53" t="n"/>
    </row>
    <row r="76" ht="99.75" customHeight="1">
      <c r="B76" s="57" t="inlineStr">
        <is>
          <t>TC071</t>
        </is>
      </c>
      <c r="C76" s="60" t="inlineStr">
        <is>
          <t>SCC function is enabled, STATUS_FAILED returned for baseline data</t>
        </is>
      </c>
      <c r="D76" s="70" t="inlineStr">
        <is>
          <t>Verify STATUS_FAILED handling for baseline data</t>
        </is>
      </c>
      <c r="E76" s="61" t="inlineStr">
        <is>
          <t>1. Configure test environment where server returns STATUS_FAILED
2. Enable SCC function
3. Reboot MFP
4. Monitor behavior</t>
        </is>
      </c>
      <c r="F76" s="62" t="inlineStr">
        <is>
          <t>MFP should delete created data, exit communication cycle, and wait for next schedule</t>
        </is>
      </c>
      <c r="G76" s="58" t="inlineStr"/>
      <c r="H76" s="59" t="inlineStr"/>
      <c r="I76" s="53" t="n"/>
    </row>
    <row r="77" ht="99.75" customHeight="1">
      <c r="B77" s="57" t="inlineStr">
        <is>
          <t>TC072</t>
        </is>
      </c>
      <c r="C77" s="60" t="inlineStr">
        <is>
          <t>SCC function is enabled, STATUS_FAILED_DATAINTEGRITY returned for baseline data</t>
        </is>
      </c>
      <c r="D77" s="70" t="inlineStr">
        <is>
          <t>Verify STATUS_FAILED_DATAINTEGRITY handling for baseline data</t>
        </is>
      </c>
      <c r="E77" s="61" t="inlineStr">
        <is>
          <t>1. Configure test environment where server returns STATUS_FAILED_DATAINTEGRITY
2. Enable SCC function
3. Reboot MFP
4. Monitor behavior</t>
        </is>
      </c>
      <c r="F77" s="62" t="inlineStr">
        <is>
          <t>MFP should delete created data, exit communication cycle, and wait for next schedule</t>
        </is>
      </c>
      <c r="G77" s="58" t="inlineStr"/>
      <c r="H77" s="59" t="inlineStr"/>
      <c r="I77" s="53" t="n"/>
    </row>
    <row r="78" ht="99.75" customHeight="1">
      <c r="B78" s="57" t="inlineStr">
        <is>
          <t>TC073</t>
        </is>
      </c>
      <c r="C78" s="60" t="inlineStr">
        <is>
          <t>SCC function is enabled, update package downloaded</t>
        </is>
      </c>
      <c r="D78" s="70" t="inlineStr">
        <is>
          <t>Verify Install Package sequence</t>
        </is>
      </c>
      <c r="E78" s="61" t="inlineStr">
        <is>
          <t>1. Configure server to provide update package
2. Enable SCC function
3. Reboot MFP
4. Monitor Install Package sequence</t>
        </is>
      </c>
      <c r="F78" s="62" t="inlineStr">
        <is>
          <t>MFP should install update package after Send Baseline Data</t>
        </is>
      </c>
      <c r="G78" s="58" t="inlineStr"/>
      <c r="H78" s="59" t="inlineStr"/>
      <c r="I78" s="53" t="n"/>
    </row>
    <row r="79" ht="99.75" customHeight="1">
      <c r="B79" s="57" t="inlineStr">
        <is>
          <t>TC074</t>
        </is>
      </c>
      <c r="C79" s="60" t="inlineStr">
        <is>
          <t>SCC function is enabled, firmware update package downloaded</t>
        </is>
      </c>
      <c r="D79" s="70" t="inlineStr">
        <is>
          <t>Verify firmware update installation</t>
        </is>
      </c>
      <c r="E79" s="61" t="inlineStr">
        <is>
          <t>1. Configure server to provide firmware update package
2. Enable SCC function
3. Reboot MFP
4. Monitor installation</t>
        </is>
      </c>
      <c r="F79" s="62" t="inlineStr">
        <is>
          <t>MFP should install firmware update at scheduled time</t>
        </is>
      </c>
      <c r="G79" s="58" t="inlineStr"/>
      <c r="H79" s="59" t="inlineStr"/>
      <c r="I79" s="53" t="n"/>
    </row>
    <row r="80" ht="99.75" customHeight="1">
      <c r="B80" s="57" t="inlineStr">
        <is>
          <t>TC075</t>
        </is>
      </c>
      <c r="C80" s="60" t="inlineStr">
        <is>
          <t>SCC function is enabled, customized UI package downloaded</t>
        </is>
      </c>
      <c r="D80" s="70" t="inlineStr">
        <is>
          <t>Verify customized UI installation</t>
        </is>
      </c>
      <c r="E80" s="61" t="inlineStr">
        <is>
          <t>1. Configure server to provide customized UI package
2. Enable SCC function
3. Reboot MFP
4. Monitor installation</t>
        </is>
      </c>
      <c r="F80" s="62" t="inlineStr">
        <is>
          <t>MFP should install customized UI package</t>
        </is>
      </c>
      <c r="G80" s="58" t="inlineStr"/>
      <c r="H80" s="59" t="inlineStr"/>
      <c r="I80" s="53" t="n"/>
    </row>
    <row r="81" ht="99.75" customHeight="1">
      <c r="B81" s="57" t="inlineStr">
        <is>
          <t>TC076</t>
        </is>
      </c>
      <c r="C81" s="60" t="inlineStr">
        <is>
          <t>SCC function is enabled, application package downloaded</t>
        </is>
      </c>
      <c r="D81" s="70" t="inlineStr">
        <is>
          <t>Verify application installation</t>
        </is>
      </c>
      <c r="E81" s="61" t="inlineStr">
        <is>
          <t>1. Configure server to provide application package
2. Enable SCC function
3. Reboot MFP
4. Monitor installation</t>
        </is>
      </c>
      <c r="F81" s="62" t="inlineStr">
        <is>
          <t>MFP should install application package</t>
        </is>
      </c>
      <c r="G81" s="58" t="inlineStr"/>
      <c r="H81" s="59" t="inlineStr"/>
      <c r="I81" s="53" t="n"/>
    </row>
    <row r="82" ht="99.75" customHeight="1">
      <c r="B82" s="57" t="inlineStr">
        <is>
          <t>TC077</t>
        </is>
      </c>
      <c r="C82" s="60" t="inlineStr">
        <is>
          <t>SCC function is enabled, license package downloaded</t>
        </is>
      </c>
      <c r="D82" s="70" t="inlineStr">
        <is>
          <t>Verify license installation</t>
        </is>
      </c>
      <c r="E82" s="61" t="inlineStr">
        <is>
          <t>1. Configure server to provide license package
2. Enable SCC function
3. Reboot MFP
4. Monitor installation</t>
        </is>
      </c>
      <c r="F82" s="62" t="inlineStr">
        <is>
          <t>MFP should install license package</t>
        </is>
      </c>
      <c r="G82" s="58" t="inlineStr"/>
      <c r="H82" s="59" t="inlineStr"/>
      <c r="I82" s="53" t="n"/>
    </row>
    <row r="83" ht="99.75" customHeight="1">
      <c r="B83" s="57" t="inlineStr">
        <is>
          <t>TC078</t>
        </is>
      </c>
      <c r="C83" s="60" t="inlineStr">
        <is>
          <t>SCC function is enabled, localization package downloaded</t>
        </is>
      </c>
      <c r="D83" s="70" t="inlineStr">
        <is>
          <t>Verify localization installation</t>
        </is>
      </c>
      <c r="E83" s="61" t="inlineStr">
        <is>
          <t>1. Configure server to provide localization package
2. Enable SCC function
3. Reboot MFP
4. Monitor installation</t>
        </is>
      </c>
      <c r="F83" s="62" t="inlineStr">
        <is>
          <t>MFP should install localization package</t>
        </is>
      </c>
      <c r="G83" s="58" t="inlineStr"/>
      <c r="H83" s="59" t="inlineStr"/>
      <c r="I83" s="53" t="n"/>
    </row>
    <row r="84" ht="99.75" customHeight="1">
      <c r="B84" s="57" t="inlineStr">
        <is>
          <t>TC079</t>
        </is>
      </c>
      <c r="C84" s="60" t="inlineStr">
        <is>
          <t>SCC function is enabled, user paper type package downloaded</t>
        </is>
      </c>
      <c r="D84" s="70" t="inlineStr">
        <is>
          <t>Verify user paper type installation</t>
        </is>
      </c>
      <c r="E84" s="61" t="inlineStr">
        <is>
          <t>1. Configure server to provide user paper type package
2. Enable SCC function
3. Reboot MFP
4. Monitor installation</t>
        </is>
      </c>
      <c r="F84" s="62" t="inlineStr">
        <is>
          <t>MFP should install user paper type package</t>
        </is>
      </c>
      <c r="G84" s="58" t="inlineStr"/>
      <c r="H84" s="59" t="inlineStr"/>
      <c r="I84" s="53" t="n"/>
    </row>
    <row r="85" ht="99.75" customHeight="1">
      <c r="B85" s="57" t="inlineStr">
        <is>
          <t>TC080</t>
        </is>
      </c>
      <c r="C85" s="60" t="inlineStr">
        <is>
          <t>SCC function is enabled, clone file package downloaded</t>
        </is>
      </c>
      <c r="D85" s="70" t="inlineStr">
        <is>
          <t>Verify clone file application</t>
        </is>
      </c>
      <c r="E85" s="61" t="inlineStr">
        <is>
          <t>1. Configure server to provide clone file package
2. Enable SCC function
3. Reboot MFP
4. Monitor installation</t>
        </is>
      </c>
      <c r="F85" s="62" t="inlineStr">
        <is>
          <t>MFP should apply clone file settings</t>
        </is>
      </c>
      <c r="G85" s="58" t="inlineStr"/>
      <c r="H85" s="59" t="inlineStr"/>
      <c r="I85" s="53" t="n"/>
    </row>
    <row r="86" ht="99.75" customHeight="1">
      <c r="B86" s="57" t="inlineStr">
        <is>
          <t>TC081</t>
        </is>
      </c>
      <c r="C86" s="60" t="inlineStr">
        <is>
          <t>SCC function is enabled, power failure during installation</t>
        </is>
      </c>
      <c r="D86" s="70" t="inlineStr">
        <is>
          <t>Verify power failure handling during Install Package</t>
        </is>
      </c>
      <c r="E86" s="61" t="inlineStr">
        <is>
          <t>1. Cause power failure during Install Package
2. Restore power
3. Monitor behavior</t>
        </is>
      </c>
      <c r="F86" s="62" t="inlineStr">
        <is>
          <t>MFP should delete update package data or firmware data before communication at next start-up</t>
        </is>
      </c>
      <c r="G86" s="58" t="inlineStr"/>
      <c r="H86" s="59" t="inlineStr"/>
      <c r="I86" s="53" t="n"/>
    </row>
    <row r="87" ht="99.75" customHeight="1">
      <c r="B87" s="57" t="inlineStr">
        <is>
          <t>TC082</t>
        </is>
      </c>
      <c r="C87" s="60" t="inlineStr">
        <is>
          <t>SCC function is enabled, power failure while waiting for firmware update schedule</t>
        </is>
      </c>
      <c r="D87" s="70" t="inlineStr">
        <is>
          <t>Verify power failure handling during scheduled wait</t>
        </is>
      </c>
      <c r="E87" s="61" t="inlineStr">
        <is>
          <t>1. Configure firmware update with future schedule
2. Cause power failure while waiting
3. Restore power after scheduled time
4. Monitor behavior</t>
        </is>
      </c>
      <c r="F87" s="62" t="inlineStr">
        <is>
          <t>Firmware update should be scheduled for same time next day</t>
        </is>
      </c>
      <c r="G87" s="58" t="inlineStr"/>
      <c r="H87" s="59" t="inlineStr"/>
      <c r="I87" s="53" t="n"/>
    </row>
    <row r="88" ht="99.75" customHeight="1">
      <c r="B88" s="57" t="inlineStr">
        <is>
          <t>TC083</t>
        </is>
      </c>
      <c r="C88" s="60" t="inlineStr">
        <is>
          <t>SCC function is enabled, installation cannot start due to exclusion</t>
        </is>
      </c>
      <c r="D88" s="70" t="inlineStr">
        <is>
          <t>Verify exclusion handling during installation</t>
        </is>
      </c>
      <c r="E88" s="61" t="inlineStr">
        <is>
          <t>1. Configure test environment where installation is blocked by exclusion
2. Enable SCC function
3. Reboot MFP
4. Monitor behavior</t>
        </is>
      </c>
      <c r="F88" s="62" t="inlineStr">
        <is>
          <t>MFP should notify update result to server, schedule regular communication after 1 hour</t>
        </is>
      </c>
      <c r="G88" s="58" t="inlineStr"/>
      <c r="H88" s="59" t="inlineStr"/>
      <c r="I88" s="53" t="n"/>
    </row>
    <row r="89" ht="99.75" customHeight="1">
      <c r="B89" s="57" t="inlineStr">
        <is>
          <t>TC084</t>
        </is>
      </c>
      <c r="C89" s="60" t="inlineStr">
        <is>
          <t>SCC function is enabled, installation fails</t>
        </is>
      </c>
      <c r="D89" s="70" t="inlineStr">
        <is>
          <t>Verify installation failure handling</t>
        </is>
      </c>
      <c r="E89" s="61" t="inlineStr">
        <is>
          <t>1. Configure test environment where installation fails
2. Enable SCC function
3. Reboot MFP
4. Monitor behavior</t>
        </is>
      </c>
      <c r="F89" s="62" t="inlineStr">
        <is>
          <t>MFP should notify update result to server, schedule regular communication after 1 hour</t>
        </is>
      </c>
      <c r="G89" s="58" t="inlineStr"/>
      <c r="H89" s="59" t="inlineStr"/>
      <c r="I89" s="53" t="n"/>
    </row>
    <row r="90" ht="99.75" customHeight="1">
      <c r="B90" s="57" t="inlineStr">
        <is>
          <t>TC085</t>
        </is>
      </c>
      <c r="C90" s="60" t="inlineStr">
        <is>
          <t>SCC function is enabled on SSD model, firmware update attempted</t>
        </is>
      </c>
      <c r="D90" s="70" t="inlineStr">
        <is>
          <t>Verify firmware update on SSD model</t>
        </is>
      </c>
      <c r="E90" s="61" t="inlineStr">
        <is>
          <t>1. Use SSD model MFP
2. Configure server to provide firmware update
3. Enable SCC function
4. Reboot MFP
5. Monitor behavior</t>
        </is>
      </c>
      <c r="F90" s="62" t="inlineStr">
        <is>
          <t>Firmware update should fail, MFP should notify update result to server</t>
        </is>
      </c>
      <c r="G90" s="58" t="inlineStr"/>
      <c r="H90" s="59" t="inlineStr"/>
      <c r="I90" s="53" t="n"/>
    </row>
    <row r="91" ht="99.75" customHeight="1">
      <c r="B91" s="57" t="inlineStr">
        <is>
          <t>TC086</t>
        </is>
      </c>
      <c r="C91" s="60" t="inlineStr">
        <is>
          <t>SCC function is enabled, multiple updates with partial failure</t>
        </is>
      </c>
      <c r="D91" s="70" t="inlineStr">
        <is>
          <t>Verify partial update failure handling</t>
        </is>
      </c>
      <c r="E91" s="61" t="inlineStr">
        <is>
          <t>1. Configure server to provide multiple updates where some will fail
2. Enable SCC function
3. Reboot MFP
4. Monitor behavior</t>
        </is>
      </c>
      <c r="F91" s="62" t="inlineStr">
        <is>
          <t>MFP should continue update installation process, notify results to server, continue regular cycle</t>
        </is>
      </c>
      <c r="G91" s="58" t="inlineStr"/>
      <c r="H91" s="59" t="inlineStr"/>
      <c r="I91" s="53" t="n"/>
    </row>
    <row r="92" ht="99.75" customHeight="1">
      <c r="B92" s="57" t="inlineStr">
        <is>
          <t>TC087</t>
        </is>
      </c>
      <c r="C92" s="60" t="inlineStr">
        <is>
          <t>SCC function is enabled, update package installed</t>
        </is>
      </c>
      <c r="D92" s="70" t="inlineStr">
        <is>
          <t>Verify Update Status sequence</t>
        </is>
      </c>
      <c r="E92" s="61" t="inlineStr">
        <is>
          <t>1. Configure server to provide update package
2. Enable SCC function
3. Reboot MFP
4. Monitor Update Status sequence</t>
        </is>
      </c>
      <c r="F92" s="62" t="inlineStr">
        <is>
          <t>MFP should notify installation status after Install Package</t>
        </is>
      </c>
      <c r="G92" s="58" t="inlineStr"/>
      <c r="H92" s="59" t="inlineStr"/>
      <c r="I92" s="53" t="n"/>
    </row>
    <row r="93" ht="99.75" customHeight="1">
      <c r="B93" s="57" t="inlineStr">
        <is>
          <t>TC088</t>
        </is>
      </c>
      <c r="C93" s="60" t="inlineStr">
        <is>
          <t>SCC function is enabled, firmware update installed</t>
        </is>
      </c>
      <c r="D93" s="70" t="inlineStr">
        <is>
          <t>Verify firmware update status notification</t>
        </is>
      </c>
      <c r="E93" s="61" t="inlineStr">
        <is>
          <t>1. Configure server to provide firmware update
2. Enable SCC function
3. Reboot MFP
4. Monitor status notification</t>
        </is>
      </c>
      <c r="F93" s="62" t="inlineStr">
        <is>
          <t>MFP should notify status transitions: SCHEDULED → DOWNLOADING → DOWNLOADED → INSTALLING → INSTALLED</t>
        </is>
      </c>
      <c r="G93" s="58" t="inlineStr"/>
      <c r="H93" s="59" t="inlineStr"/>
      <c r="I93" s="53" t="n"/>
    </row>
    <row r="94" ht="99.75" customHeight="1">
      <c r="B94" s="57" t="inlineStr">
        <is>
          <t>TC089</t>
        </is>
      </c>
      <c r="C94" s="60" t="inlineStr">
        <is>
          <t>SCC function is enabled, non-firmware update installed</t>
        </is>
      </c>
      <c r="D94" s="70" t="inlineStr">
        <is>
          <t>Verify non-firmware update status notification</t>
        </is>
      </c>
      <c r="E94" s="61" t="inlineStr">
        <is>
          <t>1. Configure server to provide non-firmware update
2. Enable SCC function
3. Reboot MFP
4. Monitor status notification</t>
        </is>
      </c>
      <c r="F94" s="62" t="inlineStr">
        <is>
          <t>MFP should notify status transitions: DOWNLOADED → INSTALLED</t>
        </is>
      </c>
      <c r="G94" s="58" t="inlineStr"/>
      <c r="H94" s="59" t="inlineStr"/>
      <c r="I94" s="53" t="n"/>
    </row>
    <row r="95" ht="99.75" customHeight="1">
      <c r="B95" s="57" t="inlineStr">
        <is>
          <t>TC090</t>
        </is>
      </c>
      <c r="C95" s="60" t="inlineStr">
        <is>
          <t>SCC function is enabled, update package installed</t>
        </is>
      </c>
      <c r="D95" s="70" t="inlineStr">
        <is>
          <t>Verify reboot after Update Status</t>
        </is>
      </c>
      <c r="E95" s="61" t="inlineStr">
        <is>
          <t>1. Configure server to provide update package
2. Enable SCC function
3. Reboot MFP
4. Monitor behavior after Update Status</t>
        </is>
      </c>
      <c r="F95" s="62" t="inlineStr">
        <is>
          <t>MFP should reboot after receiving response from server</t>
        </is>
      </c>
      <c r="G95" s="58" t="inlineStr"/>
      <c r="H95" s="59" t="inlineStr"/>
      <c r="I95" s="53" t="n"/>
    </row>
    <row r="96" ht="99.75" customHeight="1">
      <c r="B96" s="57" t="inlineStr">
        <is>
          <t>TC091</t>
        </is>
      </c>
      <c r="C96" s="60" t="inlineStr">
        <is>
          <t>SCC function is enabled, special instruction update installed</t>
        </is>
      </c>
      <c r="D96" s="70" t="inlineStr">
        <is>
          <t>Verify behavior after special instruction</t>
        </is>
      </c>
      <c r="E96" s="61" t="inlineStr">
        <is>
          <t>1. Configure server to provide special instruction update
2. Enable SCC function
3. Reboot MFP
4. Monitor behavior after Update Status</t>
        </is>
      </c>
      <c r="F96" s="62" t="inlineStr">
        <is>
          <t>MFP should not reboot, should execute Send Regular Data processing</t>
        </is>
      </c>
      <c r="G96" s="58" t="inlineStr"/>
      <c r="H96" s="59" t="inlineStr"/>
      <c r="I96" s="53" t="n"/>
    </row>
    <row r="97" ht="99.75" customHeight="1">
      <c r="B97" s="57" t="inlineStr">
        <is>
          <t>TC092</t>
        </is>
      </c>
      <c r="C97" s="60" t="inlineStr">
        <is>
          <t>SCC function is enabled, communication error during Update Status</t>
        </is>
      </c>
      <c r="D97" s="70" t="inlineStr">
        <is>
          <t>Verify retry behavior for Update Status</t>
        </is>
      </c>
      <c r="E97" s="61" t="inlineStr">
        <is>
          <t>1. Cause communication error during Update Status
2. Monitor retry behavior</t>
        </is>
      </c>
      <c r="F97" s="62" t="inlineStr">
        <is>
          <t>MFP should follow retry processing protocol</t>
        </is>
      </c>
      <c r="G97" s="58" t="inlineStr"/>
      <c r="H97" s="59" t="inlineStr"/>
      <c r="I97" s="53" t="n"/>
    </row>
    <row r="98" ht="99.75" customHeight="1">
      <c r="B98" s="57" t="inlineStr">
        <is>
          <t>TC093</t>
        </is>
      </c>
      <c r="C98" s="60" t="inlineStr">
        <is>
          <t>SCC function is enabled, power failure during Update Status</t>
        </is>
      </c>
      <c r="D98" s="70" t="inlineStr">
        <is>
          <t>Verify power failure handling during Update Status</t>
        </is>
      </c>
      <c r="E98" s="61" t="inlineStr">
        <is>
          <t>1. Cause power failure during Update Status
2. Restore power
3. Monitor behavior</t>
        </is>
      </c>
      <c r="F98" s="62" t="inlineStr">
        <is>
          <t>No special processing should be required</t>
        </is>
      </c>
      <c r="G98" s="58" t="inlineStr"/>
      <c r="H98" s="59" t="inlineStr"/>
      <c r="I98" s="53" t="n"/>
    </row>
    <row r="99" ht="99.75" customHeight="1">
      <c r="B99" s="57" t="inlineStr">
        <is>
          <t>TC094</t>
        </is>
      </c>
      <c r="C99" s="60" t="inlineStr">
        <is>
          <t>SCC function is enabled, MFP registered</t>
        </is>
      </c>
      <c r="D99" s="70" t="inlineStr">
        <is>
          <t>Verify Send Regular Data sequence</t>
        </is>
      </c>
      <c r="E99" s="61" t="inlineStr">
        <is>
          <t>1. Enable SCC function on registered MFP
2. Reboot MFP
3. Monitor Send Regular Data sequence</t>
        </is>
      </c>
      <c r="F99" s="62" t="inlineStr">
        <is>
          <t>MFP should send regular data after Update Status</t>
        </is>
      </c>
      <c r="G99" s="58" t="inlineStr"/>
      <c r="H99" s="59" t="inlineStr"/>
      <c r="I99" s="53" t="n"/>
    </row>
    <row r="100" ht="99.75" customHeight="1">
      <c r="B100" s="57" t="inlineStr">
        <is>
          <t>TC095</t>
        </is>
      </c>
      <c r="C100" s="60" t="inlineStr">
        <is>
          <t>SCC function is enabled, reboot after update package installation</t>
        </is>
      </c>
      <c r="D100" s="70" t="inlineStr">
        <is>
          <t>Verify Send Regular Data after reboot</t>
        </is>
      </c>
      <c r="E100" s="61" t="inlineStr">
        <is>
          <t>1. Configure server to provide update package
2. Enable SCC function
3. Reboot MFP
4. Monitor behavior after reboot</t>
        </is>
      </c>
      <c r="F100" s="62" t="inlineStr">
        <is>
          <t>MFP should execute Send Regular Data, omitting Register Device and Check for Updates</t>
        </is>
      </c>
      <c r="G100" s="58" t="inlineStr"/>
      <c r="H100" s="59" t="inlineStr"/>
      <c r="I100" s="53" t="n"/>
    </row>
    <row r="101" ht="99.75" customHeight="1">
      <c r="B101" s="57" t="inlineStr">
        <is>
          <t>TC096</t>
        </is>
      </c>
      <c r="C101" s="60" t="inlineStr">
        <is>
          <t>SCC function is enabled, Print Log SendDataConfig enabled</t>
        </is>
      </c>
      <c r="D101" s="70" t="inlineStr">
        <is>
          <t>Verify Print Log collection in regular data</t>
        </is>
      </c>
      <c r="E101" s="61" t="inlineStr">
        <is>
          <t>1. Configure server to enable Print Log SendDataConfig
2. Enable SCC function
3. Reboot MFP
4. Monitor regular data</t>
        </is>
      </c>
      <c r="F101" s="62" t="inlineStr">
        <is>
          <t>Print Log should be included in regular data</t>
        </is>
      </c>
      <c r="G101" s="58" t="inlineStr"/>
      <c r="H101" s="59" t="inlineStr"/>
      <c r="I101" s="53" t="n"/>
    </row>
    <row r="102">
      <c r="A102" s="63" t="n"/>
      <c r="B102" s="63" t="inlineStr">
        <is>
          <t>TC097</t>
        </is>
      </c>
      <c r="C102" s="63" t="inlineStr">
        <is>
          <t>SCC function is enabled, Scan Log SendDataConfig enabled</t>
        </is>
      </c>
      <c r="D102" s="63" t="inlineStr">
        <is>
          <t>Verify Scan Log collection in regular data</t>
        </is>
      </c>
      <c r="E102" s="64" t="inlineStr">
        <is>
          <t>1. Configure server to enable Scan Log SendDataConfig
2. Enable SCC function
3. Reboot MFP
4. Monitor regular data</t>
        </is>
      </c>
      <c r="F102" s="64" t="inlineStr">
        <is>
          <t>Scan Log should be included in regular data</t>
        </is>
      </c>
      <c r="G102" s="63" t="inlineStr"/>
      <c r="H102" s="63" t="inlineStr"/>
    </row>
    <row r="103">
      <c r="B103" t="inlineStr">
        <is>
          <t>TC098</t>
        </is>
      </c>
      <c r="C103" t="inlineStr">
        <is>
          <t>SCC function is enabled, Message Log SendDataConfig enabled</t>
        </is>
      </c>
      <c r="D103" t="inlineStr">
        <is>
          <t>Verify Message Log collection in regular data</t>
        </is>
      </c>
      <c r="E103" t="inlineStr">
        <is>
          <t>1. Configure server to enable Message Log SendDataConfig
2. Enable SCC function
3. Reboot MFP
4. Monitor regular data</t>
        </is>
      </c>
      <c r="F103" t="inlineStr">
        <is>
          <t>Message Log should be included in regular data</t>
        </is>
      </c>
      <c r="G103" t="inlineStr"/>
      <c r="H103" t="inlineStr"/>
    </row>
    <row r="104">
      <c r="B104" s="45" t="inlineStr">
        <is>
          <t>TC099</t>
        </is>
      </c>
      <c r="C104" s="67" t="inlineStr">
        <is>
          <t>SCC function is enabled, Security Setting SendDataConfig enabled</t>
        </is>
      </c>
      <c r="D104" t="inlineStr">
        <is>
          <t>Verify Security Setting collection in regular data</t>
        </is>
      </c>
      <c r="E104" t="inlineStr">
        <is>
          <t>1. Configure server to enable Security Setting SendDataConfig
2. Enable SCC function
3. Reboot MFP
4. Monitor regular data</t>
        </is>
      </c>
      <c r="F104" t="inlineStr">
        <is>
          <t>Security Setting should be included in regular data</t>
        </is>
      </c>
      <c r="G104" t="inlineStr"/>
      <c r="H104" t="inlineStr"/>
    </row>
    <row r="105">
      <c r="B105" t="inlineStr">
        <is>
          <t>TC100</t>
        </is>
      </c>
      <c r="C105" t="inlineStr">
        <is>
          <t>SCC function is enabled, Default Setting SendDataConfig enabled</t>
        </is>
      </c>
      <c r="D105" s="45" t="inlineStr">
        <is>
          <t>Verify Default Setting collection in regular data</t>
        </is>
      </c>
      <c r="E105" t="inlineStr">
        <is>
          <t>1. Configure server to enable Default Setting SendDataConfig
2. Enable SCC function
3. Reboot MFP
4. Monitor regular data</t>
        </is>
      </c>
      <c r="F105" t="inlineStr">
        <is>
          <t>Default Setting should be included in regular data</t>
        </is>
      </c>
      <c r="G105" t="inlineStr"/>
      <c r="H105" t="inlineStr"/>
    </row>
    <row r="106">
      <c r="B106" t="inlineStr">
        <is>
          <t>TC101</t>
        </is>
      </c>
      <c r="C106" t="inlineStr">
        <is>
          <t>SCC function is enabled, User Management Setting SendDataConfig enabled</t>
        </is>
      </c>
      <c r="D106" s="46" t="inlineStr">
        <is>
          <t>Verify User Management Setting collection in regular data</t>
        </is>
      </c>
      <c r="E106" s="71" t="inlineStr">
        <is>
          <t>1. Configure server to enable User Management Setting SendDataConfig
2. Enable SCC function
3. Reboot MFP
4. Monitor regular data</t>
        </is>
      </c>
      <c r="F106" t="inlineStr">
        <is>
          <t>User Management Setting should be included in regular data</t>
        </is>
      </c>
      <c r="G106" t="inlineStr"/>
      <c r="H106" t="inlineStr"/>
    </row>
    <row r="107">
      <c r="D107" s="65" t="inlineStr">
        <is>
          <t>Total Test Case Passed</t>
        </is>
      </c>
      <c r="E107" s="71">
        <f>COUNTIF(G6:G6,"PASS")</f>
        <v/>
      </c>
    </row>
    <row r="108">
      <c r="D108" s="46" t="inlineStr">
        <is>
          <t>Total Test Case Failed</t>
        </is>
      </c>
      <c r="E108" s="71">
        <f>COUNTIF(G6:G6,"FAIL")</f>
        <v/>
      </c>
    </row>
    <row r="109">
      <c r="D109" s="68" t="inlineStr">
        <is>
          <t>Total Test Case Not  Executed</t>
        </is>
      </c>
      <c r="E109" s="71">
        <f>COUNTIF(G6:G6,"Not Executed")</f>
        <v/>
      </c>
    </row>
    <row r="111">
      <c r="D111" s="45" t="n"/>
      <c r="E111" s="69" t="n"/>
    </row>
  </sheetData>
  <mergeCells count="6">
    <mergeCell ref="F4:G4"/>
    <mergeCell ref="B4:B5"/>
    <mergeCell ref="B1:H1"/>
    <mergeCell ref="A4:A5"/>
    <mergeCell ref="B2:H2"/>
    <mergeCell ref="D4:E4"/>
  </mergeCells>
  <conditionalFormatting sqref="G103:G107">
    <cfRule type="cellIs" priority="1" operator="equal" dxfId="2" stopIfTrue="1">
      <formula>"PASS"</formula>
    </cfRule>
    <cfRule type="cellIs" priority="2" operator="equal" dxfId="1" stopIfTrue="1">
      <formula>"FAIL"</formula>
    </cfRule>
    <cfRule type="cellIs" priority="3" operator="equal" dxfId="0" stopIfTrue="1">
      <formula>"Not Executed"</formula>
    </cfRule>
  </conditionalFormatting>
  <dataValidations count="2">
    <dataValidation sqref="G6:G101" showDropDown="0" showInputMessage="1" showErrorMessage="1" allowBlank="1" type="list">
      <formula1>"PASS,FAIL,Not Executed"</formula1>
    </dataValidation>
    <dataValidation sqref="H6:H102" showDropDown="0" showInputMessage="1" showErrorMessage="0" allowBlank="1" prompt="Comments by Test Engineer"/>
  </dataValidations>
  <hyperlinks>
    <hyperlink ref="B1" location="Summary!A1" display="Summary Sheet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SEPG</dc:creator>
  <dc:title xmlns:dc="http://purl.org/dc/elements/1.1/">Test Design and Report</dc:title>
  <dc:description xmlns:dc="http://purl.org/dc/elements/1.1/">Revision History:_x000d_
Version :2.0_x000d_
Date:30-May-03_x000d_
Changes:Revision history table and title sheet modified.In section 4 has been changed same as doc format of the same.Trace ability matrix table is removed._x000d_
Approved By:Head SEPG</dc:description>
  <dcterms:created xmlns:dcterms="http://purl.org/dc/terms/" xmlns:xsi="http://www.w3.org/2001/XMLSchema-instance" xsi:type="dcterms:W3CDTF">2001-08-20T11:41:33Z</dcterms:created>
  <dcterms:modified xmlns:dcterms="http://purl.org/dc/terms/" xmlns:xsi="http://www.w3.org/2001/XMLSchema-instance" xsi:type="dcterms:W3CDTF">2026-01-21T09:17:19Z</dcterms:modified>
  <cp:lastModifiedBy>s chindhana(ＴＳＩＰ)</cp:lastModifiedBy>
  <cp:keywords>P211TP6-TDR</cp:keywords>
  <cp:lastPrinted>2014-11-16T13:47:47Z</cp:lastPrinted>
</cp:coreProperties>
</file>